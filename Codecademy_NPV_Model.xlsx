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rse Analysis" sheetId="1" state="visible" r:id="rId3"/>
    <sheet name="Assumptions" sheetId="2" state="visible" r:id="rId4"/>
    <sheet name="Sensitiv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<sst xmlns="http://schemas.openxmlformats.org/spreadsheetml/2006/main" count="151" uniqueCount="106">
  <si>
    <t xml:space="preserve">Tier</t>
  </si>
  <si>
    <t xml:space="preserve">Course</t>
  </si>
  <si>
    <t xml:space="preserve">Hours</t>
  </si>
  <si>
    <t xml:space="preserve">Time Cost</t>
  </si>
  <si>
    <t xml:space="preserve">Uplift Share</t>
  </si>
  <si>
    <t xml:space="preserve">Gross Uplift £/yr</t>
  </si>
  <si>
    <t xml:space="preserve">5yr NPV (post-tax)</t>
  </si>
  <si>
    <t xml:space="preserve">Net Benefit</t>
  </si>
  <si>
    <t xml:space="preserve">Benefit/Hour</t>
  </si>
  <si>
    <t xml:space="preserve">ROI Multiple</t>
  </si>
  <si>
    <t xml:space="preserve">Rationale</t>
  </si>
  <si>
    <t xml:space="preserve">TIER 1</t>
  </si>
  <si>
    <t xml:space="preserve">Learn Python 3</t>
  </si>
  <si>
    <t xml:space="preserve">Foundation for everything else. Enables automation, financial modelling, AI tooling, and Data Fellowship prep.</t>
  </si>
  <si>
    <t xml:space="preserve">Learn SQL</t>
  </si>
  <si>
    <t xml:space="preserve">Table stakes at senior analytical level. Query pricing databases directly without waiting for data team.</t>
  </si>
  <si>
    <t xml:space="preserve">Analyze Data with SQL (Skill Path)</t>
  </si>
  <si>
    <t xml:space="preserve">Takes SQL from basic to practical. Joins, aggregates, real case studies on Ethernet/Optical pricing data.</t>
  </si>
  <si>
    <t xml:space="preserve">TIER 2</t>
  </si>
  <si>
    <t xml:space="preserve">Analyze Financial Data with Python (Skill Path)</t>
  </si>
  <si>
    <t xml:space="preserve">Pandas, NumPy, Matplotlib, regression, portfolio optimisation. Maps directly to pricing models and personal investments.</t>
  </si>
  <si>
    <t xml:space="preserve">Learn Statistics with Python</t>
  </si>
  <si>
    <t xml:space="preserve">Distributions, variance, hypothesis testing. Essential foundation before ML content makes sense.</t>
  </si>
  <si>
    <t xml:space="preserve">ML/AI Engineer Career Path (first 60-70%)</t>
  </si>
  <si>
    <t xml:space="preserve">Commercial leaders with ML literacy are rare. Strongest differentiator for Head of Pricing / Commercial Director.</t>
  </si>
  <si>
    <t xml:space="preserve">TIER 3</t>
  </si>
  <si>
    <t xml:space="preserve">Learn How to Use AI for Data Analysis</t>
  </si>
  <si>
    <t xml:space="preserve">Using LLMs as analytics assistants in Python. Productivity tool, minimal standalone salary impact.</t>
  </si>
  <si>
    <t xml:space="preserve">Web Scraping with Beautiful Soup</t>
  </si>
  <si>
    <t xml:space="preserve">Pull competitor pricing, Ofcom data programmatically. Niche but defensible competitive intelligence capability.</t>
  </si>
  <si>
    <t xml:space="preserve">AI for FP&amp;A</t>
  </si>
  <si>
    <t xml:space="preserve">Forecasting, scenario modelling, variance analysis with AI. Directly relevant but too narrow to move salary needle alone.</t>
  </si>
  <si>
    <t xml:space="preserve">SQL for Business Metrics (Intermediate)</t>
  </si>
  <si>
    <t xml:space="preserve">Funnels, churn, attribution analysis. Relevant to PSTN migration customer behaviour data.</t>
  </si>
  <si>
    <t xml:space="preserve">SKIP</t>
  </si>
  <si>
    <t xml:space="preserve">Intro to Generative AI</t>
  </si>
  <si>
    <t xml:space="preserve">&lt;1</t>
  </si>
  <si>
    <t xml:space="preserve">—</t>
  </si>
  <si>
    <t xml:space="preserve">You already know all of this from daily use.</t>
  </si>
  <si>
    <t xml:space="preserve">Power BI / Tableau courses</t>
  </si>
  <si>
    <t xml:space="preserve">Var.</t>
  </si>
  <si>
    <t xml:space="preserve">Level 3 apprenticeship territory. YouTube tutorial material.</t>
  </si>
  <si>
    <t xml:space="preserve">Excel courses</t>
  </si>
  <si>
    <t xml:space="preserve">You already build DCF models in Excel.</t>
  </si>
  <si>
    <t xml:space="preserve">Full career paths (50-90 hrs)</t>
  </si>
  <si>
    <t xml:space="preserve">50-90</t>
  </si>
  <si>
    <t xml:space="preserve">Too broad. Cherry-pick individual courses instead.</t>
  </si>
  <si>
    <t xml:space="preserve">TIER SUMMARY</t>
  </si>
  <si>
    <t xml:space="preserve">Courses</t>
  </si>
  <si>
    <t xml:space="preserve">Weight</t>
  </si>
  <si>
    <t xml:space="preserve">Gross Uplift</t>
  </si>
  <si>
    <t xml:space="preserve">5yr NPV</t>
  </si>
  <si>
    <t xml:space="preserve">Avg Benefit/Hr</t>
  </si>
  <si>
    <t xml:space="preserve">Avg ROI</t>
  </si>
  <si>
    <t xml:space="preserve">3 courses</t>
  </si>
  <si>
    <t xml:space="preserve">Foundation courses - essential enablers</t>
  </si>
  <si>
    <t xml:space="preserve">Strongest differentiators at senior level</t>
  </si>
  <si>
    <t xml:space="preserve">4 courses</t>
  </si>
  <si>
    <t xml:space="preserve">Quick wins and niche capabilities</t>
  </si>
  <si>
    <t xml:space="preserve">TOTAL</t>
  </si>
  <si>
    <t xml:space="preserve">10 courses</t>
  </si>
  <si>
    <t xml:space="preserve">Complete recommended skillset stack</t>
  </si>
  <si>
    <t xml:space="preserve">Total Annual Salary Uplift Target</t>
  </si>
  <si>
    <t xml:space="preserve">Midpoint-high of £6-10k range. Adjust to test scenarios.</t>
  </si>
  <si>
    <t xml:space="preserve">Current Salary</t>
  </si>
  <si>
    <t xml:space="preserve">For reference only - not used in calculations.</t>
  </si>
  <si>
    <t xml:space="preserve">Combined Tax/NI Rate</t>
  </si>
  <si>
    <t xml:space="preserve">Marginal rate at £72k+. 40% income tax + 2% NI.</t>
  </si>
  <si>
    <t xml:space="preserve">Discount Rate</t>
  </si>
  <si>
    <t xml:space="preserve">Time value of money. 7% = equity-like opportunity cost.</t>
  </si>
  <si>
    <t xml:space="preserve">Hourly Time Value</t>
  </si>
  <si>
    <t xml:space="preserve">Based on salary + ~30% employer costs, divided by working hours.</t>
  </si>
  <si>
    <t xml:space="preserve">Delay Before Uplift (years)</t>
  </si>
  <si>
    <t xml:space="preserve">Years before salary uplift kicks in. 1 = conservative (full stack built first).</t>
  </si>
  <si>
    <t xml:space="preserve">Delayed Annuity Factor (5yr)</t>
  </si>
  <si>
    <t xml:space="preserve">Sum of discount factors for years (delay+1) to (delay+5). Derived from inputs above.</t>
  </si>
  <si>
    <t xml:space="preserve">NPV Horizon (years of uplift)</t>
  </si>
  <si>
    <t xml:space="preserve">Years of salary uplift after delay period. Hardcoded into annuity factor formula.</t>
  </si>
  <si>
    <t xml:space="preserve">METHODOLOGY</t>
  </si>
  <si>
    <t xml:space="preserve">Each course is assigned a contribution weight (% of total salary uplift it enables).</t>
  </si>
  <si>
    <t xml:space="preserve">Weights sum to 100% across all 10 recommended courses - no double-counting.</t>
  </si>
  <si>
    <t xml:space="preserve">Courses are interdependent (Python enables Financial Python enables ML).</t>
  </si>
  <si>
    <t xml:space="preserve">The weight reflects marginal contribution within the integrated stack.</t>
  </si>
  <si>
    <t xml:space="preserve">NPV = Gross Uplift * (1 - Tax Rate) * Delayed Annuity Factor.</t>
  </si>
  <si>
    <t xml:space="preserve">Net Benefit = NPV - Time Cost. Positive = course pays back more than time invested.</t>
  </si>
  <si>
    <t xml:space="preserve">Benefit/Hour = Net Benefit / Hours. Higher = more efficient use of your time.</t>
  </si>
  <si>
    <t xml:space="preserve">ROI Multiple = NPV / Time Cost. &gt;1.0x means positive return.</t>
  </si>
  <si>
    <t xml:space="preserve">Blue cells are adjustable inputs. Black cells are formulas. Change blue to run scenarios.</t>
  </si>
  <si>
    <t xml:space="preserve">KEY DIFFERENCE FROM ALTERNATIVE MODEL</t>
  </si>
  <si>
    <t xml:space="preserve">The alternative model used independent salary estimates per course summing to £10,700/yr.</t>
  </si>
  <si>
    <t xml:space="preserve">This exceeds the £6-10k target range and implicitly double-counts (Python value is already in ML value).</t>
  </si>
  <si>
    <t xml:space="preserve">This model constrains total uplift to a single adjustable figure and allocates proportional shares.</t>
  </si>
  <si>
    <t xml:space="preserve">This model also applies a 1-year delay before uplift begins (more conservative/realistic).</t>
  </si>
  <si>
    <t xml:space="preserve">Result: lower but more defensible NPV figures. Every positive Net Benefit is genuinely earned.</t>
  </si>
  <si>
    <t xml:space="preserve">SCENARIO ANALYSIS</t>
  </si>
  <si>
    <t xml:space="preserve">Total Net Benefit under different assumptions</t>
  </si>
  <si>
    <t xml:space="preserve">Total Uplift \ Discount Rate</t>
  </si>
  <si>
    <t xml:space="preserve">Highlighted cell = base case assumptions</t>
  </si>
  <si>
    <t xml:space="preserve">All scenarios assume 42% tax, 1-year delay, 123 total hours at £37/hr</t>
  </si>
  <si>
    <t xml:space="preserve">Green = positive net benefit. Red = time cost exceeds NPV.</t>
  </si>
  <si>
    <t xml:space="preserve">BREAKEVEN ANALYSIS</t>
  </si>
  <si>
    <t xml:space="preserve">Minimum annual uplift to break even:</t>
  </si>
  <si>
    <t xml:space="preserve">per year gross (at base case 7% discount, 42% tax, 1yr delay)</t>
  </si>
  <si>
    <t xml:space="preserve">Your target range:</t>
  </si>
  <si>
    <t xml:space="preserve">£6,000-£10,000</t>
  </si>
  <si>
    <t xml:space="preserve">Comfortably above breakeven in all scenarios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</si>
</sst>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£#,##0"/>
    <numFmt numFmtId="166" formatCode="0%"/>
    <numFmt numFmtId="167" formatCode="\£#,##0;&quot;(£&quot;#,##0\);\-"/>
    <numFmt numFmtId="168" formatCode="0.0\x"/>
    <numFmt numFmtId="169" formatCode="General"/>
    <numFmt numFmtId="170" formatCode="0.0%"/>
    <numFmt numFmtId="171" formatCode="0"/>
    <numFmt numFmtId="172" formatCode="0.0000"/>
    <numFmt numFmtId="173" formatCode="\£#,##0;&quot;(£&quot;#,##0\)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1"/>
      <color rgb="FFC62828"/>
      <name val="Arial"/>
      <family val="0"/>
      <charset val="1"/>
    </font>
    <font>
      <b val="true"/>
      <sz val="12"/>
      <color rgb="FF1B3A5C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C6282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8F5E9"/>
        <bgColor rgb="FFFFF8E1"/>
      </patternFill>
    </fill>
    <fill>
      <patternFill patternType="solid">
        <fgColor rgb="FFFFF8E1"/>
        <bgColor rgb="FFFFEBEE"/>
      </patternFill>
    </fill>
    <fill>
      <patternFill patternType="solid">
        <fgColor rgb="FFFFEBEE"/>
        <bgColor rgb="FFFFF8E1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1B3A5C"/>
      </top>
      <bottom style="medium">
        <color rgb="FF1B3A5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B3A5C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4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1.5" hidden="false" customHeight="true" outlineLevel="0" collapsed="false">
      <c r="A2" s="2" t="s">
        <v>11</v>
      </c>
      <c r="B2" s="3" t="s">
        <v>12</v>
      </c>
      <c r="C2" s="4" t="n">
        <v>24</v>
      </c>
      <c r="D2" s="5" t="n">
        <f aca="false">C2*Assumptions!B5</f>
        <v>888</v>
      </c>
      <c r="E2" s="6" t="n">
        <v>0.25</v>
      </c>
      <c r="F2" s="5" t="n">
        <f aca="false">E2*Assumptions!B1</f>
        <v>2250</v>
      </c>
      <c r="G2" s="5" t="n">
        <f aca="false">F2*(1-Assumptions!B3)*Assumptions!B7</f>
        <v>5000.70808776786</v>
      </c>
      <c r="H2" s="7" t="n">
        <f aca="false">G2-D2</f>
        <v>4112.70808776786</v>
      </c>
      <c r="I2" s="5" t="n">
        <f aca="false">IF(C2&gt;0,H2/C2,0)</f>
        <v>171.362836990327</v>
      </c>
      <c r="J2" s="8" t="n">
        <f aca="false">IF(D2&gt;0,G2/D2,0)</f>
        <v>5.63142802676561</v>
      </c>
      <c r="K2" s="9" t="s">
        <v>13</v>
      </c>
    </row>
    <row r="3" customFormat="false" ht="31.5" hidden="false" customHeight="true" outlineLevel="0" collapsed="false">
      <c r="A3" s="2" t="s">
        <v>11</v>
      </c>
      <c r="B3" s="3" t="s">
        <v>14</v>
      </c>
      <c r="C3" s="4" t="n">
        <v>5</v>
      </c>
      <c r="D3" s="5" t="n">
        <f aca="false">C3*Assumptions!B5</f>
        <v>185</v>
      </c>
      <c r="E3" s="6" t="n">
        <v>0.08</v>
      </c>
      <c r="F3" s="5" t="n">
        <f aca="false">E3*Assumptions!B1</f>
        <v>720</v>
      </c>
      <c r="G3" s="5" t="n">
        <f aca="false">F3*(1-Assumptions!B3)*Assumptions!B7</f>
        <v>1600.22658808571</v>
      </c>
      <c r="H3" s="7" t="n">
        <f aca="false">G3-D3</f>
        <v>1415.22658808571</v>
      </c>
      <c r="I3" s="5" t="n">
        <f aca="false">IF(C3&gt;0,H3/C3,0)</f>
        <v>283.045317617143</v>
      </c>
      <c r="J3" s="8" t="n">
        <f aca="false">IF(D3&gt;0,G3/D3,0)</f>
        <v>8.64987344911197</v>
      </c>
      <c r="K3" s="9" t="s">
        <v>15</v>
      </c>
    </row>
    <row r="4" customFormat="false" ht="31.5" hidden="false" customHeight="true" outlineLevel="0" collapsed="false">
      <c r="A4" s="2" t="s">
        <v>11</v>
      </c>
      <c r="B4" s="3" t="s">
        <v>16</v>
      </c>
      <c r="C4" s="4" t="n">
        <v>18</v>
      </c>
      <c r="D4" s="5" t="n">
        <f aca="false">C4*Assumptions!B5</f>
        <v>666</v>
      </c>
      <c r="E4" s="6" t="n">
        <v>0.1</v>
      </c>
      <c r="F4" s="5" t="n">
        <f aca="false">E4*Assumptions!B1</f>
        <v>900</v>
      </c>
      <c r="G4" s="5" t="n">
        <f aca="false">F4*(1-Assumptions!B3)*Assumptions!B7</f>
        <v>2000.28323510714</v>
      </c>
      <c r="H4" s="7" t="n">
        <f aca="false">G4-D4</f>
        <v>1334.28323510714</v>
      </c>
      <c r="I4" s="5" t="n">
        <f aca="false">IF(C4&gt;0,H4/C4,0)</f>
        <v>74.1268463948413</v>
      </c>
      <c r="J4" s="8" t="n">
        <f aca="false">IF(D4&gt;0,G4/D4,0)</f>
        <v>3.00342828094166</v>
      </c>
      <c r="K4" s="9" t="s">
        <v>17</v>
      </c>
    </row>
    <row r="5" customFormat="false" ht="31.5" hidden="false" customHeight="true" outlineLevel="0" collapsed="false">
      <c r="A5" s="2" t="s">
        <v>18</v>
      </c>
      <c r="B5" s="3" t="s">
        <v>19</v>
      </c>
      <c r="C5" s="4" t="n">
        <v>20</v>
      </c>
      <c r="D5" s="5" t="n">
        <f aca="false">C5*Assumptions!B5</f>
        <v>740</v>
      </c>
      <c r="E5" s="6" t="n">
        <v>0.2</v>
      </c>
      <c r="F5" s="5" t="n">
        <f aca="false">E5*Assumptions!B1</f>
        <v>1800</v>
      </c>
      <c r="G5" s="5" t="n">
        <f aca="false">F5*(1-Assumptions!B3)*Assumptions!B7</f>
        <v>4000.56647021429</v>
      </c>
      <c r="H5" s="7" t="n">
        <f aca="false">G5-D5</f>
        <v>3260.56647021429</v>
      </c>
      <c r="I5" s="5" t="n">
        <f aca="false">IF(C5&gt;0,H5/C5,0)</f>
        <v>163.028323510714</v>
      </c>
      <c r="J5" s="8" t="n">
        <f aca="false">IF(D5&gt;0,G5/D5,0)</f>
        <v>5.40617090569498</v>
      </c>
      <c r="K5" s="9" t="s">
        <v>20</v>
      </c>
    </row>
    <row r="6" customFormat="false" ht="31.5" hidden="false" customHeight="true" outlineLevel="0" collapsed="false">
      <c r="A6" s="2" t="s">
        <v>18</v>
      </c>
      <c r="B6" s="3" t="s">
        <v>21</v>
      </c>
      <c r="C6" s="4" t="n">
        <v>10</v>
      </c>
      <c r="D6" s="5" t="n">
        <f aca="false">C6*Assumptions!B5</f>
        <v>370</v>
      </c>
      <c r="E6" s="6" t="n">
        <v>0.1</v>
      </c>
      <c r="F6" s="5" t="n">
        <f aca="false">E6*Assumptions!B1</f>
        <v>900</v>
      </c>
      <c r="G6" s="5" t="n">
        <f aca="false">F6*(1-Assumptions!B3)*Assumptions!B7</f>
        <v>2000.28323510714</v>
      </c>
      <c r="H6" s="7" t="n">
        <f aca="false">G6-D6</f>
        <v>1630.28323510714</v>
      </c>
      <c r="I6" s="5" t="n">
        <f aca="false">IF(C6&gt;0,H6/C6,0)</f>
        <v>163.028323510714</v>
      </c>
      <c r="J6" s="8" t="n">
        <f aca="false">IF(D6&gt;0,G6/D6,0)</f>
        <v>5.40617090569498</v>
      </c>
      <c r="K6" s="9" t="s">
        <v>22</v>
      </c>
    </row>
    <row r="7" customFormat="false" ht="31.5" hidden="false" customHeight="true" outlineLevel="0" collapsed="false">
      <c r="A7" s="2" t="s">
        <v>18</v>
      </c>
      <c r="B7" s="3" t="s">
        <v>23</v>
      </c>
      <c r="C7" s="4" t="n">
        <v>35</v>
      </c>
      <c r="D7" s="5" t="n">
        <f aca="false">C7*Assumptions!B5</f>
        <v>1295</v>
      </c>
      <c r="E7" s="6" t="n">
        <v>0.22</v>
      </c>
      <c r="F7" s="5" t="n">
        <f aca="false">E7*Assumptions!B1</f>
        <v>1980</v>
      </c>
      <c r="G7" s="5" t="n">
        <f aca="false">F7*(1-Assumptions!B3)*Assumptions!B7</f>
        <v>4400.62311723572</v>
      </c>
      <c r="H7" s="7" t="n">
        <f aca="false">G7-D7</f>
        <v>3105.62311723572</v>
      </c>
      <c r="I7" s="5" t="n">
        <f aca="false">IF(C7&gt;0,H7/C7,0)</f>
        <v>88.7320890638776</v>
      </c>
      <c r="J7" s="8" t="n">
        <f aca="false">IF(D7&gt;0,G7/D7,0)</f>
        <v>3.39816456929399</v>
      </c>
      <c r="K7" s="9" t="s">
        <v>24</v>
      </c>
    </row>
    <row r="8" customFormat="false" ht="31.5" hidden="false" customHeight="true" outlineLevel="0" collapsed="false">
      <c r="A8" s="10" t="s">
        <v>25</v>
      </c>
      <c r="B8" s="11" t="s">
        <v>26</v>
      </c>
      <c r="C8" s="12" t="n">
        <v>3</v>
      </c>
      <c r="D8" s="13" t="n">
        <f aca="false">C8*Assumptions!B5</f>
        <v>111</v>
      </c>
      <c r="E8" s="14" t="n">
        <v>0.02</v>
      </c>
      <c r="F8" s="13" t="n">
        <f aca="false">E8*Assumptions!B1</f>
        <v>180</v>
      </c>
      <c r="G8" s="13" t="n">
        <f aca="false">F8*(1-Assumptions!B3)*Assumptions!B7</f>
        <v>400.056647021429</v>
      </c>
      <c r="H8" s="15" t="n">
        <f aca="false">G8-D8</f>
        <v>289.056647021429</v>
      </c>
      <c r="I8" s="13" t="n">
        <f aca="false">IF(C8&gt;0,H8/C8,0)</f>
        <v>96.3522156738096</v>
      </c>
      <c r="J8" s="16" t="n">
        <f aca="false">IF(D8&gt;0,G8/D8,0)</f>
        <v>3.60411393712999</v>
      </c>
      <c r="K8" s="17" t="s">
        <v>27</v>
      </c>
    </row>
    <row r="9" customFormat="false" ht="31.5" hidden="false" customHeight="true" outlineLevel="0" collapsed="false">
      <c r="A9" s="10" t="s">
        <v>25</v>
      </c>
      <c r="B9" s="11" t="s">
        <v>28</v>
      </c>
      <c r="C9" s="12" t="n">
        <v>4</v>
      </c>
      <c r="D9" s="13" t="n">
        <f aca="false">C9*Assumptions!B5</f>
        <v>148</v>
      </c>
      <c r="E9" s="14" t="n">
        <v>0.01</v>
      </c>
      <c r="F9" s="13" t="n">
        <f aca="false">E9*Assumptions!B1</f>
        <v>90</v>
      </c>
      <c r="G9" s="13" t="n">
        <f aca="false">F9*(1-Assumptions!B3)*Assumptions!B7</f>
        <v>200.028323510714</v>
      </c>
      <c r="H9" s="15" t="n">
        <f aca="false">G9-D9</f>
        <v>52.0283235107144</v>
      </c>
      <c r="I9" s="13" t="n">
        <f aca="false">IF(C9&gt;0,H9/C9,0)</f>
        <v>13.0070808776786</v>
      </c>
      <c r="J9" s="16" t="n">
        <f aca="false">IF(D9&gt;0,G9/D9,0)</f>
        <v>1.35154272642375</v>
      </c>
      <c r="K9" s="17" t="s">
        <v>29</v>
      </c>
    </row>
    <row r="10" customFormat="false" ht="31.5" hidden="false" customHeight="true" outlineLevel="0" collapsed="false">
      <c r="A10" s="10" t="s">
        <v>25</v>
      </c>
      <c r="B10" s="11" t="s">
        <v>30</v>
      </c>
      <c r="C10" s="12" t="n">
        <v>1</v>
      </c>
      <c r="D10" s="13" t="n">
        <f aca="false">C10*Assumptions!B5</f>
        <v>37</v>
      </c>
      <c r="E10" s="14" t="n">
        <v>0.01</v>
      </c>
      <c r="F10" s="13" t="n">
        <f aca="false">E10*Assumptions!B1</f>
        <v>90</v>
      </c>
      <c r="G10" s="13" t="n">
        <f aca="false">F10*(1-Assumptions!B3)*Assumptions!B7</f>
        <v>200.028323510714</v>
      </c>
      <c r="H10" s="15" t="n">
        <f aca="false">G10-D10</f>
        <v>163.028323510714</v>
      </c>
      <c r="I10" s="13" t="n">
        <f aca="false">IF(C10&gt;0,H10/C10,0)</f>
        <v>163.028323510714</v>
      </c>
      <c r="J10" s="16" t="n">
        <f aca="false">IF(D10&gt;0,G10/D10,0)</f>
        <v>5.40617090569498</v>
      </c>
      <c r="K10" s="17" t="s">
        <v>31</v>
      </c>
    </row>
    <row r="11" customFormat="false" ht="31.5" hidden="false" customHeight="true" outlineLevel="0" collapsed="false">
      <c r="A11" s="10" t="s">
        <v>25</v>
      </c>
      <c r="B11" s="11" t="s">
        <v>32</v>
      </c>
      <c r="C11" s="12" t="n">
        <v>3</v>
      </c>
      <c r="D11" s="13" t="n">
        <f aca="false">C11*Assumptions!B5</f>
        <v>111</v>
      </c>
      <c r="E11" s="14" t="n">
        <v>0.01</v>
      </c>
      <c r="F11" s="13" t="n">
        <f aca="false">E11*Assumptions!B1</f>
        <v>90</v>
      </c>
      <c r="G11" s="13" t="n">
        <f aca="false">F11*(1-Assumptions!B3)*Assumptions!B7</f>
        <v>200.028323510714</v>
      </c>
      <c r="H11" s="15" t="n">
        <f aca="false">G11-D11</f>
        <v>89.0283235107144</v>
      </c>
      <c r="I11" s="13" t="n">
        <f aca="false">IF(C11&gt;0,H11/C11,0)</f>
        <v>29.6761078369048</v>
      </c>
      <c r="J11" s="16" t="n">
        <f aca="false">IF(D11&gt;0,G11/D11,0)</f>
        <v>1.80205696856499</v>
      </c>
      <c r="K11" s="17" t="s">
        <v>33</v>
      </c>
    </row>
    <row r="12" customFormat="false" ht="31.5" hidden="false" customHeight="true" outlineLevel="0" collapsed="false">
      <c r="A12" s="18" t="s">
        <v>34</v>
      </c>
      <c r="B12" s="19" t="s">
        <v>35</v>
      </c>
      <c r="C12" s="20" t="s">
        <v>36</v>
      </c>
      <c r="D12" s="20" t="s">
        <v>37</v>
      </c>
      <c r="E12" s="20" t="s">
        <v>37</v>
      </c>
      <c r="F12" s="20" t="s">
        <v>37</v>
      </c>
      <c r="G12" s="20" t="s">
        <v>37</v>
      </c>
      <c r="H12" s="20" t="s">
        <v>37</v>
      </c>
      <c r="I12" s="20" t="s">
        <v>37</v>
      </c>
      <c r="J12" s="20" t="s">
        <v>37</v>
      </c>
      <c r="K12" s="21" t="s">
        <v>38</v>
      </c>
    </row>
    <row r="13" customFormat="false" ht="31.5" hidden="false" customHeight="true" outlineLevel="0" collapsed="false">
      <c r="A13" s="18" t="s">
        <v>34</v>
      </c>
      <c r="B13" s="19" t="s">
        <v>39</v>
      </c>
      <c r="C13" s="20" t="s">
        <v>40</v>
      </c>
      <c r="D13" s="20" t="s">
        <v>37</v>
      </c>
      <c r="E13" s="20" t="s">
        <v>37</v>
      </c>
      <c r="F13" s="20" t="s">
        <v>37</v>
      </c>
      <c r="G13" s="20" t="s">
        <v>37</v>
      </c>
      <c r="H13" s="20" t="s">
        <v>37</v>
      </c>
      <c r="I13" s="20" t="s">
        <v>37</v>
      </c>
      <c r="J13" s="20" t="s">
        <v>37</v>
      </c>
      <c r="K13" s="21" t="s">
        <v>41</v>
      </c>
    </row>
    <row r="14" customFormat="false" ht="31.5" hidden="false" customHeight="true" outlineLevel="0" collapsed="false">
      <c r="A14" s="18" t="s">
        <v>34</v>
      </c>
      <c r="B14" s="19" t="s">
        <v>42</v>
      </c>
      <c r="C14" s="20" t="s">
        <v>40</v>
      </c>
      <c r="D14" s="20" t="s">
        <v>37</v>
      </c>
      <c r="E14" s="20" t="s">
        <v>37</v>
      </c>
      <c r="F14" s="20" t="s">
        <v>37</v>
      </c>
      <c r="G14" s="20" t="s">
        <v>37</v>
      </c>
      <c r="H14" s="20" t="s">
        <v>37</v>
      </c>
      <c r="I14" s="20" t="s">
        <v>37</v>
      </c>
      <c r="J14" s="20" t="s">
        <v>37</v>
      </c>
      <c r="K14" s="21" t="s">
        <v>43</v>
      </c>
    </row>
    <row r="15" customFormat="false" ht="31.5" hidden="false" customHeight="true" outlineLevel="0" collapsed="false">
      <c r="A15" s="18" t="s">
        <v>34</v>
      </c>
      <c r="B15" s="19" t="s">
        <v>44</v>
      </c>
      <c r="C15" s="20" t="s">
        <v>45</v>
      </c>
      <c r="D15" s="20" t="s">
        <v>37</v>
      </c>
      <c r="E15" s="20" t="s">
        <v>37</v>
      </c>
      <c r="F15" s="20" t="s">
        <v>37</v>
      </c>
      <c r="G15" s="20" t="s">
        <v>37</v>
      </c>
      <c r="H15" s="20" t="s">
        <v>37</v>
      </c>
      <c r="I15" s="20" t="s">
        <v>37</v>
      </c>
      <c r="J15" s="20" t="s">
        <v>37</v>
      </c>
      <c r="K15" s="21" t="s">
        <v>46</v>
      </c>
    </row>
    <row r="17" customFormat="false" ht="15" hidden="false" customHeight="false" outlineLevel="0" collapsed="false">
      <c r="A17" s="22" t="s">
        <v>47</v>
      </c>
      <c r="B17" s="22"/>
    </row>
    <row r="18" customFormat="false" ht="23.85" hidden="false" customHeight="false" outlineLevel="0" collapsed="false">
      <c r="A18" s="1"/>
      <c r="B18" s="1" t="s">
        <v>48</v>
      </c>
      <c r="C18" s="1" t="s">
        <v>2</v>
      </c>
      <c r="D18" s="1" t="s">
        <v>3</v>
      </c>
      <c r="E18" s="1" t="s">
        <v>49</v>
      </c>
      <c r="F18" s="1" t="s">
        <v>50</v>
      </c>
      <c r="G18" s="1" t="s">
        <v>51</v>
      </c>
      <c r="H18" s="1" t="s">
        <v>7</v>
      </c>
      <c r="I18" s="1" t="s">
        <v>52</v>
      </c>
      <c r="J18" s="1" t="s">
        <v>53</v>
      </c>
      <c r="K18" s="1"/>
    </row>
    <row r="19" customFormat="false" ht="15" hidden="false" customHeight="false" outlineLevel="0" collapsed="false">
      <c r="A19" s="2" t="s">
        <v>11</v>
      </c>
      <c r="B19" s="3" t="s">
        <v>54</v>
      </c>
      <c r="C19" s="23" t="n">
        <f aca="false">SUM(C2:C4)</f>
        <v>47</v>
      </c>
      <c r="D19" s="5" t="n">
        <f aca="false">SUM(D2:D4)</f>
        <v>1739</v>
      </c>
      <c r="E19" s="24" t="n">
        <f aca="false">SUM(E2:E4)</f>
        <v>0.43</v>
      </c>
      <c r="F19" s="5" t="n">
        <f aca="false">SUM(F2:F4)</f>
        <v>3870</v>
      </c>
      <c r="G19" s="5" t="n">
        <f aca="false">SUM(G2:G4)</f>
        <v>8601.21791096072</v>
      </c>
      <c r="H19" s="25" t="n">
        <f aca="false">SUM(H2:H4)</f>
        <v>6862.21791096072</v>
      </c>
      <c r="I19" s="5" t="n">
        <f aca="false">IF(C19&gt;0,H19/C19,0)</f>
        <v>146.00463640342</v>
      </c>
      <c r="J19" s="8" t="n">
        <f aca="false">IF(D19&gt;0,G19/D19,0)</f>
        <v>4.94607125414647</v>
      </c>
      <c r="K19" s="3" t="s">
        <v>55</v>
      </c>
    </row>
    <row r="20" customFormat="false" ht="15" hidden="false" customHeight="false" outlineLevel="0" collapsed="false">
      <c r="A20" s="2" t="s">
        <v>18</v>
      </c>
      <c r="B20" s="3" t="s">
        <v>54</v>
      </c>
      <c r="C20" s="23" t="n">
        <f aca="false">SUM(C5:C7)</f>
        <v>65</v>
      </c>
      <c r="D20" s="5" t="n">
        <f aca="false">SUM(D5:D7)</f>
        <v>2405</v>
      </c>
      <c r="E20" s="24" t="n">
        <f aca="false">SUM(E5:E7)</f>
        <v>0.52</v>
      </c>
      <c r="F20" s="5" t="n">
        <f aca="false">SUM(F5:F7)</f>
        <v>4680</v>
      </c>
      <c r="G20" s="5" t="n">
        <f aca="false">SUM(G5:G7)</f>
        <v>10401.4728225571</v>
      </c>
      <c r="H20" s="25" t="n">
        <f aca="false">SUM(H5:H7)</f>
        <v>7996.47282255715</v>
      </c>
      <c r="I20" s="5" t="n">
        <f aca="false">IF(C20&gt;0,H20/C20,0)</f>
        <v>123.022658808571</v>
      </c>
      <c r="J20" s="8" t="n">
        <f aca="false">IF(D20&gt;0,G20/D20,0)</f>
        <v>4.32493672455599</v>
      </c>
      <c r="K20" s="3" t="s">
        <v>56</v>
      </c>
    </row>
    <row r="21" customFormat="false" ht="15" hidden="false" customHeight="false" outlineLevel="0" collapsed="false">
      <c r="A21" s="10" t="s">
        <v>25</v>
      </c>
      <c r="B21" s="11" t="s">
        <v>57</v>
      </c>
      <c r="C21" s="26" t="n">
        <f aca="false">SUM(C8:C11)</f>
        <v>11</v>
      </c>
      <c r="D21" s="13" t="n">
        <f aca="false">SUM(D8:D11)</f>
        <v>407</v>
      </c>
      <c r="E21" s="27" t="n">
        <f aca="false">SUM(E8:E11)</f>
        <v>0.05</v>
      </c>
      <c r="F21" s="13" t="n">
        <f aca="false">SUM(F8:F11)</f>
        <v>450</v>
      </c>
      <c r="G21" s="13" t="n">
        <f aca="false">SUM(G8:G11)</f>
        <v>1000.14161755357</v>
      </c>
      <c r="H21" s="28" t="n">
        <f aca="false">SUM(H8:H11)</f>
        <v>593.141617553572</v>
      </c>
      <c r="I21" s="13" t="n">
        <f aca="false">IF(C21&gt;0,H21/C21,0)</f>
        <v>53.9219652321429</v>
      </c>
      <c r="J21" s="16" t="n">
        <f aca="false">IF(D21&gt;0,G21/D21,0)</f>
        <v>2.45735041167954</v>
      </c>
      <c r="K21" s="11" t="s">
        <v>58</v>
      </c>
    </row>
    <row r="23" customFormat="false" ht="15" hidden="false" customHeight="false" outlineLevel="0" collapsed="false">
      <c r="A23" s="29" t="s">
        <v>59</v>
      </c>
      <c r="B23" s="30" t="s">
        <v>60</v>
      </c>
      <c r="C23" s="31" t="n">
        <f aca="false">SUM(C19:C21)</f>
        <v>123</v>
      </c>
      <c r="D23" s="32" t="n">
        <f aca="false">SUM(D19:D21)</f>
        <v>4551</v>
      </c>
      <c r="E23" s="33" t="n">
        <f aca="false">SUM(E19:E21)</f>
        <v>1</v>
      </c>
      <c r="F23" s="32" t="n">
        <f aca="false">SUM(F19:F21)</f>
        <v>9000</v>
      </c>
      <c r="G23" s="32" t="n">
        <f aca="false">SUM(G19:G21)</f>
        <v>20002.8323510714</v>
      </c>
      <c r="H23" s="34" t="n">
        <f aca="false">SUM(H19:H21)</f>
        <v>15451.8323510714</v>
      </c>
      <c r="I23" s="32" t="n">
        <f aca="false">IF(C23&gt;0,H23/C23,0)</f>
        <v>125.624653260743</v>
      </c>
      <c r="J23" s="35" t="n">
        <f aca="false">IF(D23&gt;0,G23/D23,0)</f>
        <v>4.39526089893901</v>
      </c>
      <c r="K23" s="30" t="s">
        <v>61</v>
      </c>
    </row>
  </sheetData>
  <mergeCells count="1"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36" t="s">
        <v>62</v>
      </c>
      <c r="B1" s="37" t="n">
        <v>9000</v>
      </c>
      <c r="C1" s="38" t="s">
        <v>63</v>
      </c>
    </row>
    <row r="2" customFormat="false" ht="15" hidden="false" customHeight="false" outlineLevel="0" collapsed="false">
      <c r="A2" s="36" t="s">
        <v>64</v>
      </c>
      <c r="B2" s="37" t="n">
        <v>72000</v>
      </c>
      <c r="C2" s="38" t="s">
        <v>65</v>
      </c>
    </row>
    <row r="3" customFormat="false" ht="15" hidden="false" customHeight="false" outlineLevel="0" collapsed="false">
      <c r="A3" s="36" t="s">
        <v>66</v>
      </c>
      <c r="B3" s="39" t="n">
        <v>0.42</v>
      </c>
      <c r="C3" s="38" t="s">
        <v>67</v>
      </c>
    </row>
    <row r="4" customFormat="false" ht="15" hidden="false" customHeight="false" outlineLevel="0" collapsed="false">
      <c r="A4" s="36" t="s">
        <v>68</v>
      </c>
      <c r="B4" s="40" t="n">
        <v>0.07</v>
      </c>
      <c r="C4" s="38" t="s">
        <v>69</v>
      </c>
    </row>
    <row r="5" customFormat="false" ht="15" hidden="false" customHeight="false" outlineLevel="0" collapsed="false">
      <c r="A5" s="36" t="s">
        <v>70</v>
      </c>
      <c r="B5" s="37" t="n">
        <v>37</v>
      </c>
      <c r="C5" s="38" t="s">
        <v>71</v>
      </c>
    </row>
    <row r="6" customFormat="false" ht="15" hidden="false" customHeight="false" outlineLevel="0" collapsed="false">
      <c r="A6" s="36" t="s">
        <v>72</v>
      </c>
      <c r="B6" s="41" t="n">
        <v>1</v>
      </c>
      <c r="C6" s="38" t="s">
        <v>73</v>
      </c>
    </row>
    <row r="7" customFormat="false" ht="15" hidden="false" customHeight="false" outlineLevel="0" collapsed="false">
      <c r="A7" s="36" t="s">
        <v>74</v>
      </c>
      <c r="B7" s="42" t="n">
        <f aca="false">(1/(1+B4)^(B6+1) + 1/(1+B4)^(B6+2) + 1/(1+B4)^(B6+3) + 1/(1+B4)^(B6+4) + 1/(1+B4)^(B6+5))</f>
        <v>3.83196022051177</v>
      </c>
      <c r="C7" s="38" t="s">
        <v>75</v>
      </c>
    </row>
    <row r="8" customFormat="false" ht="15" hidden="false" customHeight="false" outlineLevel="0" collapsed="false">
      <c r="A8" s="36" t="s">
        <v>76</v>
      </c>
      <c r="B8" s="41" t="n">
        <v>5</v>
      </c>
      <c r="C8" s="38" t="s">
        <v>77</v>
      </c>
    </row>
    <row r="10" customFormat="false" ht="15" hidden="false" customHeight="false" outlineLevel="0" collapsed="false">
      <c r="A10" s="43" t="s">
        <v>78</v>
      </c>
    </row>
    <row r="11" customFormat="false" ht="15" hidden="false" customHeight="false" outlineLevel="0" collapsed="false">
      <c r="A11" s="44" t="s">
        <v>79</v>
      </c>
      <c r="B11" s="44"/>
      <c r="C11" s="44"/>
    </row>
    <row r="12" customFormat="false" ht="15" hidden="false" customHeight="false" outlineLevel="0" collapsed="false">
      <c r="A12" s="44" t="s">
        <v>80</v>
      </c>
      <c r="B12" s="44"/>
      <c r="C12" s="44"/>
    </row>
    <row r="13" customFormat="false" ht="15" hidden="false" customHeight="false" outlineLevel="0" collapsed="false">
      <c r="A13" s="44" t="s">
        <v>81</v>
      </c>
      <c r="B13" s="44"/>
      <c r="C13" s="44"/>
    </row>
    <row r="14" customFormat="false" ht="15" hidden="false" customHeight="false" outlineLevel="0" collapsed="false">
      <c r="A14" s="44" t="s">
        <v>82</v>
      </c>
      <c r="B14" s="44"/>
      <c r="C14" s="44"/>
    </row>
    <row r="15" customFormat="false" ht="15" hidden="false" customHeight="false" outlineLevel="0" collapsed="false">
      <c r="A15" s="44" t="s">
        <v>83</v>
      </c>
      <c r="B15" s="44"/>
      <c r="C15" s="44"/>
    </row>
    <row r="16" customFormat="false" ht="15" hidden="false" customHeight="false" outlineLevel="0" collapsed="false">
      <c r="A16" s="44" t="s">
        <v>84</v>
      </c>
      <c r="B16" s="44"/>
      <c r="C16" s="44"/>
    </row>
    <row r="17" customFormat="false" ht="15" hidden="false" customHeight="false" outlineLevel="0" collapsed="false">
      <c r="A17" s="44" t="s">
        <v>85</v>
      </c>
      <c r="B17" s="44"/>
      <c r="C17" s="44"/>
    </row>
    <row r="18" customFormat="false" ht="15" hidden="false" customHeight="false" outlineLevel="0" collapsed="false">
      <c r="A18" s="44" t="s">
        <v>86</v>
      </c>
      <c r="B18" s="44"/>
      <c r="C18" s="44"/>
    </row>
    <row r="19" customFormat="false" ht="15" hidden="false" customHeight="false" outlineLevel="0" collapsed="false">
      <c r="A19" s="44" t="s">
        <v>87</v>
      </c>
      <c r="B19" s="44"/>
      <c r="C19" s="44"/>
    </row>
    <row r="21" customFormat="false" ht="15" hidden="false" customHeight="false" outlineLevel="0" collapsed="false">
      <c r="A21" s="45" t="s">
        <v>88</v>
      </c>
    </row>
    <row r="22" customFormat="false" ht="15" hidden="false" customHeight="false" outlineLevel="0" collapsed="false">
      <c r="A22" s="44" t="s">
        <v>89</v>
      </c>
      <c r="B22" s="44"/>
      <c r="C22" s="44"/>
    </row>
    <row r="23" customFormat="false" ht="15" hidden="false" customHeight="false" outlineLevel="0" collapsed="false">
      <c r="A23" s="44" t="s">
        <v>90</v>
      </c>
      <c r="B23" s="44"/>
      <c r="C23" s="44"/>
    </row>
    <row r="24" customFormat="false" ht="15" hidden="false" customHeight="false" outlineLevel="0" collapsed="false">
      <c r="A24" s="44" t="s">
        <v>91</v>
      </c>
      <c r="B24" s="44"/>
      <c r="C24" s="44"/>
    </row>
    <row r="25" customFormat="false" ht="15" hidden="false" customHeight="false" outlineLevel="0" collapsed="false">
      <c r="A25" s="44" t="s">
        <v>92</v>
      </c>
      <c r="B25" s="44"/>
      <c r="C25" s="44"/>
    </row>
    <row r="26" customFormat="false" ht="15" hidden="false" customHeight="false" outlineLevel="0" collapsed="false">
      <c r="A26" s="44" t="s">
        <v>93</v>
      </c>
      <c r="B26" s="44"/>
      <c r="C26" s="44"/>
    </row>
  </sheetData>
  <mergeCells count="14"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2:C22"/>
    <mergeCell ref="A23:C23"/>
    <mergeCell ref="A24:C24"/>
    <mergeCell ref="A25:C25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4"/>
  </cols>
  <sheetData>
    <row r="1" customFormat="false" ht="15" hidden="false" customHeight="false" outlineLevel="0" collapsed="false">
      <c r="A1" s="46" t="s">
        <v>94</v>
      </c>
    </row>
    <row r="2" customFormat="false" ht="15" hidden="false" customHeight="false" outlineLevel="0" collapsed="false">
      <c r="A2" s="47" t="s">
        <v>95</v>
      </c>
    </row>
    <row r="4" customFormat="false" ht="15" hidden="false" customHeight="false" outlineLevel="0" collapsed="false">
      <c r="A4" s="48" t="s">
        <v>96</v>
      </c>
      <c r="B4" s="49" t="n">
        <v>0.04</v>
      </c>
      <c r="C4" s="49" t="n">
        <v>0.05</v>
      </c>
      <c r="D4" s="49" t="n">
        <v>0.07</v>
      </c>
      <c r="E4" s="49" t="n">
        <v>0.09</v>
      </c>
      <c r="F4" s="49" t="n">
        <v>0.12</v>
      </c>
    </row>
    <row r="5" customFormat="false" ht="15" hidden="false" customHeight="false" outlineLevel="0" collapsed="false">
      <c r="A5" s="50" t="n">
        <v>6000</v>
      </c>
      <c r="B5" s="51" t="n">
        <v>10345</v>
      </c>
      <c r="C5" s="51" t="n">
        <v>9798</v>
      </c>
      <c r="D5" s="51" t="n">
        <v>8784</v>
      </c>
      <c r="E5" s="51" t="n">
        <v>7867</v>
      </c>
      <c r="F5" s="51" t="n">
        <v>6650</v>
      </c>
    </row>
    <row r="6" customFormat="false" ht="15" hidden="false" customHeight="false" outlineLevel="0" collapsed="false">
      <c r="A6" s="50" t="n">
        <v>7000</v>
      </c>
      <c r="B6" s="51" t="n">
        <v>12828</v>
      </c>
      <c r="C6" s="51" t="n">
        <v>12190</v>
      </c>
      <c r="D6" s="51" t="n">
        <v>11007</v>
      </c>
      <c r="E6" s="51" t="n">
        <v>9937</v>
      </c>
      <c r="F6" s="51" t="n">
        <v>8516</v>
      </c>
    </row>
    <row r="7" customFormat="false" ht="15" hidden="false" customHeight="false" outlineLevel="0" collapsed="false">
      <c r="A7" s="50" t="n">
        <v>8000</v>
      </c>
      <c r="B7" s="51" t="n">
        <v>15311</v>
      </c>
      <c r="C7" s="51" t="n">
        <v>14581</v>
      </c>
      <c r="D7" s="51" t="n">
        <v>13229</v>
      </c>
      <c r="E7" s="51" t="n">
        <v>12007</v>
      </c>
      <c r="F7" s="51" t="n">
        <v>10383</v>
      </c>
    </row>
    <row r="8" customFormat="false" ht="15" hidden="false" customHeight="false" outlineLevel="0" collapsed="false">
      <c r="A8" s="52" t="n">
        <v>9000</v>
      </c>
      <c r="B8" s="51" t="n">
        <v>17794</v>
      </c>
      <c r="C8" s="51" t="n">
        <v>16973</v>
      </c>
      <c r="D8" s="53" t="n">
        <v>15452</v>
      </c>
      <c r="E8" s="51" t="n">
        <v>14077</v>
      </c>
      <c r="F8" s="51" t="n">
        <v>12250</v>
      </c>
    </row>
    <row r="9" customFormat="false" ht="15" hidden="false" customHeight="false" outlineLevel="0" collapsed="false">
      <c r="A9" s="50" t="n">
        <v>10000</v>
      </c>
      <c r="B9" s="51" t="n">
        <v>20276</v>
      </c>
      <c r="C9" s="51" t="n">
        <v>19364</v>
      </c>
      <c r="D9" s="51" t="n">
        <v>17674</v>
      </c>
      <c r="E9" s="51" t="n">
        <v>16146</v>
      </c>
      <c r="F9" s="51" t="n">
        <v>14117</v>
      </c>
    </row>
    <row r="11" customFormat="false" ht="15" hidden="false" customHeight="false" outlineLevel="0" collapsed="false">
      <c r="A11" s="54" t="s">
        <v>97</v>
      </c>
    </row>
    <row r="12" customFormat="false" ht="15" hidden="false" customHeight="false" outlineLevel="0" collapsed="false">
      <c r="A12" s="54" t="s">
        <v>98</v>
      </c>
    </row>
    <row r="13" customFormat="false" ht="15" hidden="false" customHeight="false" outlineLevel="0" collapsed="false">
      <c r="A13" s="54" t="s">
        <v>99</v>
      </c>
    </row>
    <row r="15" customFormat="false" ht="15" hidden="false" customHeight="false" outlineLevel="0" collapsed="false">
      <c r="A15" s="43" t="s">
        <v>100</v>
      </c>
    </row>
    <row r="16" customFormat="false" ht="15" hidden="false" customHeight="false" outlineLevel="0" collapsed="false">
      <c r="A16" s="36" t="s">
        <v>101</v>
      </c>
      <c r="B16" s="55" t="n">
        <v>2048</v>
      </c>
      <c r="C16" s="38" t="s">
        <v>102</v>
      </c>
    </row>
    <row r="17" customFormat="false" ht="15" hidden="false" customHeight="false" outlineLevel="0" collapsed="false">
      <c r="A17" s="36" t="s">
        <v>103</v>
      </c>
      <c r="B17" s="56" t="s">
        <v>104</v>
      </c>
      <c r="C17" s="38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2026-02-20T23:09:24Z</dcterms:created>
  <dc:creator>openpyxl</dc:creator>
  <dc:description/>
  <dc:language>en-US</dc:language>
  <cp:lastModifiedBy/>
  <dcterms:modified xsi:type="dcterms:W3CDTF">2026-02-20T23:09:24Z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