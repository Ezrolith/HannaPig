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Course Analysis" sheetId="2" state="visible" r:id="rId4"/>
    <sheet name="Sensitivity" sheetId="3" state="visible" r:id="rId5"/>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 authorId="0">
      <text>
        <r>
          <rPr>
            <sz val="10"/>
            <rFont val="Arial"/>
            <family val="2"/>
          </rPr>
          <t xml:space="preserve">Calculation: £72,000 / 1,950 working hours = ~£37/hr gross.
After 42% marginal tax+NI: £37 × 0.58 = £21.46, rounded to £21.
Uses marginal rate (not effective ~27%) because study hours replace marginal earning/leisure time.
This represents what Peter actually takes home per hour — the real opportunity cost in spending power.
Previous model used £37/hr (employer cost including 30% overhead) which overstated the personal cost.</t>
        </r>
      </text>
    </comment>
    <comment ref="C6" authorId="0">
      <text>
        <r>
          <rPr>
            <sz val="10"/>
            <rFont val="Arial"/>
            <family val="2"/>
          </rPr>
          <t xml:space="preserve">20 years is conservative. State pension age is 67. If Peter works to 65, this becomes 25 years and NPVs increase significantly.</t>
        </r>
      </text>
    </comment>
    <comment ref="C9" authorId="0">
      <text>
        <r>
          <rPr>
            <sz val="10"/>
            <rFont val="Arial"/>
            <family val="2"/>
          </rPr>
          <t xml:space="preserve">This is NOT the sum of individual course values. It represents the total salary uplift from moving to Head of Pricing / Commercial Director level, enabled by the combined skill stack. Individual course weights show relative contribution within this total.</t>
        </r>
      </text>
    </comment>
    <comment ref="C10" authorId="0">
      <text>
        <r>
          <rPr>
            <sz val="10"/>
            <rFont val="Arial"/>
            <family val="2"/>
          </rPr>
          <t xml:space="preserve">Timeline: Phase 1 starts Mar 2026, Phase 3 ends ~Feb 2027. Then 12 months to apply skills, build internal credibility, and achieve salary increase through promotion, regrading, or external move. First benefit ~Feb 2028 = 2 years from today.</t>
        </r>
      </text>
    </comment>
    <comment ref="C15" authorId="0">
      <text>
        <r>
          <rPr>
            <sz val="10"/>
            <rFont val="Arial"/>
            <family val="2"/>
          </rPr>
          <t xml:space="preserve">This is additional salary benefit beyond the core £9k. The AI Engineer path qualitatively changes your profile from 'commercial leader who understands AI' to 'commercial leader who can build with AI.' This opens Commercial Director roles and AI transformation programme leadership, which command higher salaries. Estimate: £1,500-2,500/yr incremental. Central case: £2,000.</t>
        </r>
      </text>
    </comment>
    <comment ref="C16" authorId="0">
      <text>
        <r>
          <rPr>
            <sz val="10"/>
            <rFont val="Arial"/>
            <family val="2"/>
          </rPr>
          <t xml:space="preserve">Timeline: Phase 4 starts ~Mar 2027 (after Phase 3 complete), ends ~Jul 2027 at 3-4 hrs/week. Then 12 months consolidation. First benefit ~Jul 2028.</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F13" authorId="0">
      <text>
        <r>
          <rPr>
            <sz val="10"/>
            <rFont val="Arial"/>
            <family val="2"/>
          </rPr>
          <t xml:space="preserve">100% — Phase 4 has its own separate uplift pool (£2,000/yr) so 100% of that pool goes to this single course.</t>
        </r>
      </text>
    </comment>
  </commentList>
</comments>
</file>

<file path=xl/sharedStrings.xml><?xml version="1.0" encoding="utf-8"?>
<sst xmlns="http://schemas.openxmlformats.org/spreadsheetml/2006/main" count="211" uniqueCount="148">
  <si>
    <t xml:space="preserve">CORE ASSUMPTIONS</t>
  </si>
  <si>
    <t xml:space="preserve">Current Salary</t>
  </si>
  <si>
    <t xml:space="preserve">Reference only. Not used in calculations.</t>
  </si>
  <si>
    <t xml:space="preserve">Hourly Time Value</t>
  </si>
  <si>
    <t xml:space="preserve">Gross pay rate (£37/hr) less 42% marginal tax/NI = net take-home per hour of work. Real cash spending power.</t>
  </si>
  <si>
    <t xml:space="preserve">Combined Tax/NI Rate</t>
  </si>
  <si>
    <t xml:space="preserve">Marginal rate at £72k+. 40% income tax + 2% NI on salary above £50,270.</t>
  </si>
  <si>
    <t xml:space="preserve">Discount Rate</t>
  </si>
  <si>
    <t xml:space="preserve">Time value of money. 7% = equity-like opportunity cost, consistent with Peter's investment approach.</t>
  </si>
  <si>
    <t xml:space="preserve">Working Years Remaining</t>
  </si>
  <si>
    <t xml:space="preserve">Born April 1985, age 40. Assumes working until ~age 60. Adjust if planning earlier/later retirement.</t>
  </si>
  <si>
    <t xml:space="preserve">PHASES 1-3: CORE SKILL STACK</t>
  </si>
  <si>
    <t xml:space="preserve">Annual Salary Uplift (Phases 1-3)</t>
  </si>
  <si>
    <t xml:space="preserve">Target £6-10k range. £9k = high-midpoint. Reflects Python + SQL + Financial Analysis + Stats + ML combined.</t>
  </si>
  <si>
    <t xml:space="preserve">Delay Before Uplift (years)</t>
  </si>
  <si>
    <t xml:space="preserve">Courses complete ~Feb 2027. 12 months to consolidate, demonstrate impact, and secure promotion/move. Benefit from ~Feb 2028.</t>
  </si>
  <si>
    <t xml:space="preserve">Benefit Years (Phases 1-3)</t>
  </si>
  <si>
    <t xml:space="preserve">Working years remaining minus delay. Skills compound over full remaining career.</t>
  </si>
  <si>
    <t xml:space="preserve">Delayed Annuity Factor (Phases 1-3)</t>
  </si>
  <si>
    <t xml:space="preserve">Sum of discount factors from (delay+1) to (delay+benefit_years). Derived from inputs above.</t>
  </si>
  <si>
    <t xml:space="preserve">PHASE 4: AI ENGINEER (INCREMENTAL)</t>
  </si>
  <si>
    <t xml:space="preserve">Annual Salary Uplift (Phase 4)</t>
  </si>
  <si>
    <t xml:space="preserve">Incremental uplift ON TOP of Phases 1-3. Raises ceiling from £78-84k to £85-90k range, or accelerates arrival.</t>
  </si>
  <si>
    <t xml:space="preserve">Course complete ~Jul 2027. 12 months to apply. Benefit from ~Jul 2028 = 2.5 years from today.</t>
  </si>
  <si>
    <t xml:space="preserve">Benefit Years (Phase 4)</t>
  </si>
  <si>
    <t xml:space="preserve">Working years remaining minus Phase 4 delay.</t>
  </si>
  <si>
    <t xml:space="preserve">Delayed Annuity Factor (Phase 4)</t>
  </si>
  <si>
    <t xml:space="preserve">Sum of discount factors for Phase 4 benefit period.</t>
  </si>
  <si>
    <t xml:space="preserve">METHODOLOGY</t>
  </si>
  <si>
    <t xml:space="preserve">Each course gets a contribution weight (% of total uplift it enables). Weights sum to 100% within each phase.</t>
  </si>
  <si>
    <t xml:space="preserve">Courses are interdependent — Python enables Financial Python enables ML. Weights reflect marginal contribution.</t>
  </si>
  <si>
    <t xml:space="preserve">NPV = Gross Uplift × (1 - Tax Rate) × Delayed Annuity Factor.</t>
  </si>
  <si>
    <t xml:space="preserve">Net Benefit = NPV - Time Cost. Positive = course pays back more than time invested.</t>
  </si>
  <si>
    <t xml:space="preserve">Benefit/Hour = Net Benefit ÷ Hours. Higher = more efficient use of time.</t>
  </si>
  <si>
    <t xml:space="preserve">ROI Multiple = NPV ÷ Time Cost. Above 1.0x = positive return.</t>
  </si>
  <si>
    <t xml:space="preserve">Phase 4 is INCREMENTAL — it adds to, not dilutes, the Phase 1-3 uplift.</t>
  </si>
  <si>
    <t xml:space="preserve">Blue cells = adjustable inputs. Black cells = formulas. Green cells = cross-sheet references.</t>
  </si>
  <si>
    <t xml:space="preserve">The model is conservative: it excludes productivity gains, better pricing decisions, personal investment returns, and career optionality.</t>
  </si>
  <si>
    <t xml:space="preserve">TIMELINE</t>
  </si>
  <si>
    <t xml:space="preserve">Mar 2026 - May 2026</t>
  </si>
  <si>
    <t xml:space="preserve">Phase 1: Python + SQL (47 hours)</t>
  </si>
  <si>
    <t xml:space="preserve">3-4 hrs/week</t>
  </si>
  <si>
    <t xml:space="preserve">Jun 2026 - Sep 2026</t>
  </si>
  <si>
    <t xml:space="preserve">Phase 2: Financial Python + Statistics (30 hours)</t>
  </si>
  <si>
    <t xml:space="preserve">Oct 2026 - Feb 2027</t>
  </si>
  <si>
    <t xml:space="preserve">Phase 3: ML/AI Career Path first 60-70% (35 hours)</t>
  </si>
  <si>
    <t xml:space="preserve">Feb 2028</t>
  </si>
  <si>
    <t xml:space="preserve">Phases 1-3 salary uplift begins</t>
  </si>
  <si>
    <t xml:space="preserve">12 months after Phase 3 completion</t>
  </si>
  <si>
    <t xml:space="preserve">Mar 2027 - Jul 2027</t>
  </si>
  <si>
    <t xml:space="preserve">Phase 4: AI Engineer Career Path (40 hours)</t>
  </si>
  <si>
    <t xml:space="preserve">Jul 2028</t>
  </si>
  <si>
    <t xml:space="preserve">Phase 4 salary uplift begins</t>
  </si>
  <si>
    <t xml:space="preserve">12 months after Phase 4 completion</t>
  </si>
  <si>
    <t xml:space="preserve">~2046</t>
  </si>
  <si>
    <t xml:space="preserve">Retirement (age ~61)</t>
  </si>
  <si>
    <t xml:space="preserve">End of benefit period</t>
  </si>
  <si>
    <t xml:space="preserve">Tier</t>
  </si>
  <si>
    <t xml:space="preserve">Course</t>
  </si>
  <si>
    <t xml:space="preserve">Hrs</t>
  </si>
  <si>
    <t xml:space="preserve">Phase</t>
  </si>
  <si>
    <t xml:space="preserve">Time Cost</t>
  </si>
  <si>
    <t xml:space="preserve">Uplift Share</t>
  </si>
  <si>
    <t xml:space="preserve">Gross £/yr</t>
  </si>
  <si>
    <t xml:space="preserve">NPV (post-tax)</t>
  </si>
  <si>
    <t xml:space="preserve">Net Benefit</t>
  </si>
  <si>
    <t xml:space="preserve">Benefit/Hr</t>
  </si>
  <si>
    <t xml:space="preserve">ROI</t>
  </si>
  <si>
    <t xml:space="preserve">Rationale</t>
  </si>
  <si>
    <t xml:space="preserve">TIER 1</t>
  </si>
  <si>
    <t xml:space="preserve">Learn Python 3</t>
  </si>
  <si>
    <t xml:space="preserve">1</t>
  </si>
  <si>
    <t xml:space="preserve">Foundation for everything. Enables automation, financial modelling, AI tooling, and Data Fellowship prep.</t>
  </si>
  <si>
    <t xml:space="preserve">Learn SQL</t>
  </si>
  <si>
    <t xml:space="preserve">Table stakes at senior analytical level. Query pricing databases directly without waiting for data team.</t>
  </si>
  <si>
    <t xml:space="preserve">Analyze Data with SQL (Skill Path)</t>
  </si>
  <si>
    <t xml:space="preserve">Takes SQL to practical analysis. Joins, aggregates, case studies on Ethernet/Optical pricing data.</t>
  </si>
  <si>
    <t xml:space="preserve">TIER 2</t>
  </si>
  <si>
    <t xml:space="preserve">Analyze Financial Data with Python (Skill Path)</t>
  </si>
  <si>
    <t xml:space="preserve">2</t>
  </si>
  <si>
    <t xml:space="preserve">Pandas, NumPy, Matplotlib, regression, portfolio optimisation. Maps to pricing models and personal investments.</t>
  </si>
  <si>
    <t xml:space="preserve">Learn Statistics with Python</t>
  </si>
  <si>
    <t xml:space="preserve">Distributions, variance, hypothesis testing. Essential foundation before ML content.</t>
  </si>
  <si>
    <t xml:space="preserve">ML/AI Engineer Career Path (first 60-70%)</t>
  </si>
  <si>
    <t xml:space="preserve">3</t>
  </si>
  <si>
    <t xml:space="preserve">Commercial leaders with ML literacy are rare. Strongest differentiator for Head of Pricing / Commercial Director.</t>
  </si>
  <si>
    <t xml:space="preserve">TIER 3</t>
  </si>
  <si>
    <t xml:space="preserve">Learn How to Use AI for Data Analysis</t>
  </si>
  <si>
    <t xml:space="preserve">QW</t>
  </si>
  <si>
    <t xml:space="preserve">Using LLMs as analytics assistants in Python. Productivity tool, minimal standalone salary impact.</t>
  </si>
  <si>
    <t xml:space="preserve">Web Scraping with Beautiful Soup</t>
  </si>
  <si>
    <t xml:space="preserve">Pull competitor pricing, Ofcom data programmatically. Niche competitive intelligence.</t>
  </si>
  <si>
    <t xml:space="preserve">AI for FP&amp;A</t>
  </si>
  <si>
    <t xml:space="preserve">Forecasting, scenario modelling, variance analysis with AI. Relevant but too narrow alone.</t>
  </si>
  <si>
    <t xml:space="preserve">SQL for Business Metrics (Intermediate)</t>
  </si>
  <si>
    <t xml:space="preserve">Funnels, churn, attribution analysis. Relevant to PSTN migration customer data.</t>
  </si>
  <si>
    <t xml:space="preserve">PHASE 4</t>
  </si>
  <si>
    <t xml:space="preserve">INCREMENTAL — adds to Phases 1-3, does not dilute them</t>
  </si>
  <si>
    <t xml:space="preserve">AI Engineer Career Path</t>
  </si>
  <si>
    <t xml:space="preserve">4</t>
  </si>
  <si>
    <t xml:space="preserve">LLM APIs, Streamlit apps, RAG, Hugging Face, deployment. Makes you someone who can BUILD with AI, not just understand it. Opens Commercial Director / AI transformation leadership roles.</t>
  </si>
  <si>
    <t xml:space="preserve">SKIP</t>
  </si>
  <si>
    <t xml:space="preserve">Intro to Generative AI</t>
  </si>
  <si>
    <t xml:space="preserve">&lt;1</t>
  </si>
  <si>
    <t xml:space="preserve">—</t>
  </si>
  <si>
    <t xml:space="preserve">You already know all of this from daily use.</t>
  </si>
  <si>
    <t xml:space="preserve">Power BI / Tableau courses</t>
  </si>
  <si>
    <t xml:space="preserve">Var.</t>
  </si>
  <si>
    <t xml:space="preserve">Level 3 apprenticeship territory. YouTube tutorial material.</t>
  </si>
  <si>
    <t xml:space="preserve">Excel courses</t>
  </si>
  <si>
    <t xml:space="preserve">You already build DCF models in Excel.</t>
  </si>
  <si>
    <t xml:space="preserve">Full career paths (50-90 hrs)</t>
  </si>
  <si>
    <t xml:space="preserve">50-90</t>
  </si>
  <si>
    <t xml:space="preserve">Too broad. Cherry-pick individual courses instead.</t>
  </si>
  <si>
    <t xml:space="preserve">SUMMARY BY TIER</t>
  </si>
  <si>
    <t xml:space="preserve">Courses</t>
  </si>
  <si>
    <t xml:space="preserve">Weight</t>
  </si>
  <si>
    <t xml:space="preserve">5yr NPV</t>
  </si>
  <si>
    <t xml:space="preserve">Avg £/Hr</t>
  </si>
  <si>
    <t xml:space="preserve">Avg ROI</t>
  </si>
  <si>
    <t xml:space="preserve">3 courses</t>
  </si>
  <si>
    <t xml:space="preserve">Foundation courses — essential enablers</t>
  </si>
  <si>
    <t xml:space="preserve">Strongest differentiators at senior level</t>
  </si>
  <si>
    <t xml:space="preserve">4 courses</t>
  </si>
  <si>
    <t xml:space="preserve">Quick wins and niche capabilities</t>
  </si>
  <si>
    <t xml:space="preserve">1 course (incremental)</t>
  </si>
  <si>
    <t xml:space="preserve">Incremental — raises salary ceiling or accelerates arrival</t>
  </si>
  <si>
    <t xml:space="preserve">GRAND TOTAL</t>
  </si>
  <si>
    <t xml:space="preserve">11 courses</t>
  </si>
  <si>
    <t xml:space="preserve">Complete recommended stack including AI Engineer</t>
  </si>
  <si>
    <t xml:space="preserve">SCENARIO ANALYSIS</t>
  </si>
  <si>
    <t xml:space="preserve">Combined Net Benefit (all phases) under different assumptions</t>
  </si>
  <si>
    <t xml:space="preserve">Full career horizon (20 working years remaining)</t>
  </si>
  <si>
    <t xml:space="preserve">Total Uplift* \ Discount Rate</t>
  </si>
  <si>
    <t xml:space="preserve">£7,300</t>
  </si>
  <si>
    <t xml:space="preserve">£8,500</t>
  </si>
  <si>
    <t xml:space="preserve">£9,800</t>
  </si>
  <si>
    <t xml:space="preserve">£11,000</t>
  </si>
  <si>
    <t xml:space="preserve">£12,200</t>
  </si>
  <si>
    <t xml:space="preserve">* Combined Phase 1-3 + Phase 4 uplift</t>
  </si>
  <si>
    <t xml:space="preserve">Highlighted = base case (£9k + £2k, 7% discount)</t>
  </si>
  <si>
    <t xml:space="preserve">All scenarios: 42% tax, 163 total hours at £21/hr (net take-home), 20yr working horizon</t>
  </si>
  <si>
    <t xml:space="preserve">BREAKEVEN ANALYSIS</t>
  </si>
  <si>
    <t xml:space="preserve">Min combined annual uplift to break even:</t>
  </si>
  <si>
    <t xml:space="preserve">per year gross (at 7%, 42% tax, career horizon)</t>
  </si>
  <si>
    <t xml:space="preserve">Your target range:</t>
  </si>
  <si>
    <t xml:space="preserve">£8,000-£12,200</t>
  </si>
  <si>
    <t xml:space="preserve">4-7x above breakeven in all scenarios</t>
  </si>
</sst>
</file>

<file path=xl/styles.xml><?xml version="1.0" encoding="utf-8"?>
<styleSheet xmlns="http://schemas.openxmlformats.org/spreadsheetml/2006/main">
  <numFmts count="12">
    <numFmt numFmtId="164" formatCode="General"/>
    <numFmt numFmtId="165" formatCode="\£#,##0"/>
    <numFmt numFmtId="166" formatCode="0%"/>
    <numFmt numFmtId="167" formatCode="0.0%"/>
    <numFmt numFmtId="168" formatCode="0"/>
    <numFmt numFmtId="169" formatCode="0.0"/>
    <numFmt numFmtId="170" formatCode="0.0000"/>
    <numFmt numFmtId="171" formatCode="\£#,##0;&quot;(£&quot;#,##0\);\-"/>
    <numFmt numFmtId="172" formatCode="0.0\x"/>
    <numFmt numFmtId="173" formatCode="General"/>
    <numFmt numFmtId="174" formatCode="\£#,##0;&quot;(£&quot;#,##0\)"/>
    <numFmt numFmtId="175" formatCode="\£#,##0"/>
  </numFmts>
  <fonts count="18">
    <font>
      <sz val="11"/>
      <color theme="1"/>
      <name val="Calibri"/>
      <family val="2"/>
      <charset val="1"/>
    </font>
    <font>
      <sz val="10"/>
      <name val="Arial"/>
      <family val="0"/>
    </font>
    <font>
      <sz val="10"/>
      <name val="Arial"/>
      <family val="0"/>
    </font>
    <font>
      <sz val="10"/>
      <name val="Arial"/>
      <family val="0"/>
    </font>
    <font>
      <b val="true"/>
      <sz val="11"/>
      <color rgb="FF1B3A5C"/>
      <name val="Arial"/>
      <family val="0"/>
      <charset val="1"/>
    </font>
    <font>
      <b val="true"/>
      <sz val="10"/>
      <color rgb="FF000000"/>
      <name val="Arial"/>
      <family val="0"/>
      <charset val="1"/>
    </font>
    <font>
      <sz val="10"/>
      <color rgb="FF0000FF"/>
      <name val="Arial"/>
      <family val="0"/>
      <charset val="1"/>
    </font>
    <font>
      <sz val="10"/>
      <color rgb="FF999999"/>
      <name val="Arial"/>
      <family val="0"/>
      <charset val="1"/>
    </font>
    <font>
      <sz val="10"/>
      <color rgb="FF000000"/>
      <name val="Arial"/>
      <family val="0"/>
      <charset val="1"/>
    </font>
    <font>
      <sz val="10"/>
      <name val="Arial"/>
      <family val="0"/>
      <charset val="1"/>
    </font>
    <font>
      <sz val="10"/>
      <name val="Arial"/>
      <family val="2"/>
    </font>
    <font>
      <b val="true"/>
      <sz val="10"/>
      <color rgb="FFFFFFFF"/>
      <name val="Arial"/>
      <family val="0"/>
      <charset val="1"/>
    </font>
    <font>
      <sz val="10"/>
      <color rgb="FF008000"/>
      <name val="Arial"/>
      <family val="0"/>
      <charset val="1"/>
    </font>
    <font>
      <i val="true"/>
      <sz val="10"/>
      <color rgb="FF999999"/>
      <name val="Arial"/>
      <family val="0"/>
      <charset val="1"/>
    </font>
    <font>
      <b val="true"/>
      <sz val="10"/>
      <color rgb="FF2E7D32"/>
      <name val="Arial"/>
      <family val="0"/>
      <charset val="1"/>
    </font>
    <font>
      <b val="true"/>
      <sz val="11"/>
      <color rgb="FF2E7D32"/>
      <name val="Arial"/>
      <family val="0"/>
      <charset val="1"/>
    </font>
    <font>
      <b val="true"/>
      <sz val="12"/>
      <color rgb="FF1B3A5C"/>
      <name val="Arial"/>
      <family val="0"/>
      <charset val="1"/>
    </font>
    <font>
      <b val="true"/>
      <sz val="10"/>
      <color rgb="FFC62828"/>
      <name val="Arial"/>
      <family val="0"/>
      <charset val="1"/>
    </font>
  </fonts>
  <fills count="9">
    <fill>
      <patternFill patternType="none"/>
    </fill>
    <fill>
      <patternFill patternType="gray125"/>
    </fill>
    <fill>
      <patternFill patternType="solid">
        <fgColor rgb="FF1B3A5C"/>
        <bgColor rgb="FF333333"/>
      </patternFill>
    </fill>
    <fill>
      <patternFill patternType="solid">
        <fgColor rgb="FFE8F5E9"/>
        <bgColor rgb="FFEDE7F6"/>
      </patternFill>
    </fill>
    <fill>
      <patternFill patternType="solid">
        <fgColor rgb="FFFFF8E1"/>
        <bgColor rgb="FFFFEBEE"/>
      </patternFill>
    </fill>
    <fill>
      <patternFill patternType="solid">
        <fgColor rgb="FFEDE7F6"/>
        <bgColor rgb="FFFFEBEE"/>
      </patternFill>
    </fill>
    <fill>
      <patternFill patternType="solid">
        <fgColor rgb="FFFFEBEE"/>
        <bgColor rgb="FFEDE7F6"/>
      </patternFill>
    </fill>
    <fill>
      <patternFill patternType="solid">
        <fgColor rgb="FFFFFFFF"/>
        <bgColor rgb="FFFFF8E1"/>
      </patternFill>
    </fill>
    <fill>
      <patternFill patternType="solid">
        <fgColor rgb="FFFFFF00"/>
        <bgColor rgb="FFFFFF00"/>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style="thin">
        <color rgb="FFCCCCCC"/>
      </right>
      <top style="medium">
        <color rgb="FF1B3A5C"/>
      </top>
      <bottom style="medium">
        <color rgb="FF1B3A5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6" fillId="0" borderId="0" xfId="0" applyFont="true" applyBorder="false" applyAlignment="true" applyProtection="false">
      <alignment horizontal="general" vertical="bottom" textRotation="0" wrapText="false" indent="0" shrinkToFit="false"/>
      <protection locked="true" hidden="false"/>
    </xf>
    <xf numFmtId="167" fontId="6" fillId="0" borderId="0" xfId="0" applyFont="true" applyBorder="false" applyAlignment="true" applyProtection="false">
      <alignment horizontal="general" vertical="bottom" textRotation="0" wrapText="false" indent="0" shrinkToFit="false"/>
      <protection locked="true" hidden="false"/>
    </xf>
    <xf numFmtId="168" fontId="6" fillId="0" borderId="0" xfId="0" applyFont="true" applyBorder="false" applyAlignment="true" applyProtection="false">
      <alignment horizontal="general" vertical="bottom" textRotation="0" wrapText="false" indent="0" shrinkToFit="false"/>
      <protection locked="true" hidden="false"/>
    </xf>
    <xf numFmtId="169" fontId="6"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5" fontId="12" fillId="3" borderId="1" xfId="0" applyFont="true" applyBorder="true" applyAlignment="true" applyProtection="false">
      <alignment horizontal="general" vertical="bottom" textRotation="0" wrapText="false" indent="0" shrinkToFit="false"/>
      <protection locked="true" hidden="false"/>
    </xf>
    <xf numFmtId="166" fontId="6" fillId="3" borderId="1" xfId="0" applyFont="true" applyBorder="true" applyAlignment="true" applyProtection="false">
      <alignment horizontal="center" vertical="center" textRotation="0" wrapText="false" indent="0" shrinkToFit="false"/>
      <protection locked="true" hidden="false"/>
    </xf>
    <xf numFmtId="171" fontId="8" fillId="3" borderId="1" xfId="0" applyFont="true" applyBorder="true" applyAlignment="tru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bottom" textRotation="0" wrapText="false" indent="0" shrinkToFit="false"/>
      <protection locked="true" hidden="false"/>
    </xf>
    <xf numFmtId="172" fontId="8" fillId="3" borderId="1"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5" fontId="12" fillId="4" borderId="1" xfId="0" applyFont="true" applyBorder="true" applyAlignment="true" applyProtection="false">
      <alignment horizontal="general" vertical="bottom" textRotation="0" wrapText="false" indent="0" shrinkToFit="false"/>
      <protection locked="true" hidden="false"/>
    </xf>
    <xf numFmtId="166" fontId="6" fillId="4" borderId="1" xfId="0" applyFont="true" applyBorder="true" applyAlignment="true" applyProtection="false">
      <alignment horizontal="center" vertical="center" textRotation="0" wrapText="false" indent="0" shrinkToFit="false"/>
      <protection locked="true" hidden="false"/>
    </xf>
    <xf numFmtId="171" fontId="8" fillId="4" borderId="1" xfId="0" applyFont="true" applyBorder="true" applyAlignment="tru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general" vertical="bottom" textRotation="0" wrapText="false" indent="0" shrinkToFit="false"/>
      <protection locked="true" hidden="false"/>
    </xf>
    <xf numFmtId="172" fontId="8" fillId="4" borderId="1" xfId="0" applyFont="true" applyBorder="true" applyAlignment="tru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center" vertical="center" textRotation="0" wrapText="false" indent="0" shrinkToFit="false"/>
      <protection locked="true" hidden="false"/>
    </xf>
    <xf numFmtId="164" fontId="9" fillId="5" borderId="1" xfId="0" applyFont="true" applyBorder="true" applyAlignment="true" applyProtection="false">
      <alignment horizontal="center" vertical="center" textRotation="0" wrapText="false" indent="0" shrinkToFit="false"/>
      <protection locked="true" hidden="false"/>
    </xf>
    <xf numFmtId="165" fontId="12" fillId="5" borderId="1" xfId="0" applyFont="true" applyBorder="true" applyAlignment="true" applyProtection="false">
      <alignment horizontal="general" vertical="bottom" textRotation="0" wrapText="false" indent="0" shrinkToFit="false"/>
      <protection locked="true" hidden="false"/>
    </xf>
    <xf numFmtId="166" fontId="6" fillId="5" borderId="1" xfId="0" applyFont="true" applyBorder="true" applyAlignment="true" applyProtection="false">
      <alignment horizontal="center" vertical="center" textRotation="0" wrapText="false" indent="0" shrinkToFit="false"/>
      <protection locked="true" hidden="false"/>
    </xf>
    <xf numFmtId="165" fontId="8" fillId="5" borderId="1" xfId="0" applyFont="true" applyBorder="true" applyAlignment="true" applyProtection="false">
      <alignment horizontal="general" vertical="bottom" textRotation="0" wrapText="false" indent="0" shrinkToFit="false"/>
      <protection locked="true" hidden="false"/>
    </xf>
    <xf numFmtId="172" fontId="8" fillId="5" borderId="1" xfId="0" applyFont="true" applyBorder="true" applyAlignment="tru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4" fontId="5" fillId="6"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73" fontId="8" fillId="3" borderId="1" xfId="0" applyFont="true" applyBorder="true" applyAlignment="true" applyProtection="false">
      <alignment horizontal="center" vertical="center"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5" fontId="14" fillId="3" borderId="1" xfId="0" applyFont="true" applyBorder="true" applyAlignment="true" applyProtection="false">
      <alignment horizontal="general" vertical="bottom" textRotation="0" wrapText="false" indent="0" shrinkToFit="false"/>
      <protection locked="true" hidden="false"/>
    </xf>
    <xf numFmtId="173" fontId="8"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6" fontId="8" fillId="4" borderId="1" xfId="0" applyFont="true" applyBorder="true" applyAlignment="true" applyProtection="false">
      <alignment horizontal="center" vertical="center" textRotation="0" wrapText="false" indent="0" shrinkToFit="false"/>
      <protection locked="true" hidden="false"/>
    </xf>
    <xf numFmtId="165" fontId="14" fillId="4" borderId="1" xfId="0" applyFont="true" applyBorder="true" applyAlignment="true" applyProtection="false">
      <alignment horizontal="general" vertical="bottom" textRotation="0" wrapText="false" indent="0" shrinkToFit="false"/>
      <protection locked="true" hidden="false"/>
    </xf>
    <xf numFmtId="173" fontId="8" fillId="5" borderId="1" xfId="0" applyFont="true" applyBorder="true" applyAlignment="true" applyProtection="false">
      <alignment horizontal="center" vertical="center"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6" fontId="8" fillId="5" borderId="1" xfId="0" applyFont="true" applyBorder="true" applyAlignment="true" applyProtection="false">
      <alignment horizontal="center" vertical="center" textRotation="0" wrapText="false" indent="0" shrinkToFit="false"/>
      <protection locked="true" hidden="false"/>
    </xf>
    <xf numFmtId="165" fontId="14" fillId="5" borderId="1" xfId="0" applyFont="true" applyBorder="true" applyAlignment="true" applyProtection="false">
      <alignment horizontal="general" vertical="bottom" textRotation="0" wrapText="false" indent="0" shrinkToFit="false"/>
      <protection locked="true" hidden="false"/>
    </xf>
    <xf numFmtId="164" fontId="4" fillId="7" borderId="2" xfId="0" applyFont="true" applyBorder="true" applyAlignment="true" applyProtection="false">
      <alignment horizontal="general" vertical="bottom" textRotation="0" wrapText="false" indent="0" shrinkToFit="false"/>
      <protection locked="true" hidden="false"/>
    </xf>
    <xf numFmtId="164" fontId="5" fillId="7" borderId="2" xfId="0" applyFont="true" applyBorder="true" applyAlignment="true" applyProtection="false">
      <alignment horizontal="general" vertical="bottom" textRotation="0" wrapText="false" indent="0" shrinkToFit="false"/>
      <protection locked="true" hidden="false"/>
    </xf>
    <xf numFmtId="173" fontId="5" fillId="7" borderId="2" xfId="0" applyFont="true" applyBorder="true" applyAlignment="true" applyProtection="false">
      <alignment horizontal="center" vertical="center" textRotation="0" wrapText="false" indent="0" shrinkToFit="false"/>
      <protection locked="true" hidden="false"/>
    </xf>
    <xf numFmtId="164" fontId="0" fillId="7" borderId="2" xfId="0" applyFont="false" applyBorder="true" applyAlignment="true" applyProtection="false">
      <alignment horizontal="general" vertical="bottom" textRotation="0" wrapText="false" indent="0" shrinkToFit="false"/>
      <protection locked="true" hidden="false"/>
    </xf>
    <xf numFmtId="165" fontId="5" fillId="7" borderId="2" xfId="0" applyFont="true" applyBorder="true" applyAlignment="true" applyProtection="false">
      <alignment horizontal="general" vertical="bottom" textRotation="0" wrapText="false" indent="0" shrinkToFit="false"/>
      <protection locked="true" hidden="false"/>
    </xf>
    <xf numFmtId="165" fontId="15" fillId="7" borderId="2" xfId="0" applyFont="true" applyBorder="true" applyAlignment="true" applyProtection="false">
      <alignment horizontal="general" vertical="bottom" textRotation="0" wrapText="false" indent="0" shrinkToFit="false"/>
      <protection locked="true" hidden="false"/>
    </xf>
    <xf numFmtId="172" fontId="5" fillId="7" borderId="2" xfId="0" applyFont="true" applyBorder="tru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bottom" textRotation="0" wrapText="false" indent="0" shrinkToFit="false"/>
      <protection locked="true" hidden="false"/>
    </xf>
    <xf numFmtId="166" fontId="11" fillId="2"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74" fontId="14" fillId="0" borderId="1" xfId="0" applyFont="true" applyBorder="true" applyAlignment="true" applyProtection="false">
      <alignment horizontal="center" vertical="center" textRotation="0" wrapText="false" indent="0" shrinkToFit="false"/>
      <protection locked="true" hidden="false"/>
    </xf>
    <xf numFmtId="164" fontId="5" fillId="8" borderId="1" xfId="0" applyFont="true" applyBorder="true" applyAlignment="true" applyProtection="false">
      <alignment horizontal="general" vertical="bottom" textRotation="0" wrapText="false" indent="0" shrinkToFit="false"/>
      <protection locked="true" hidden="false"/>
    </xf>
    <xf numFmtId="174" fontId="14" fillId="8" borderId="1" xfId="0" applyFont="true" applyBorder="true" applyAlignment="true" applyProtection="false">
      <alignment horizontal="center" vertical="center" textRotation="0" wrapText="false" indent="0" shrinkToFit="false"/>
      <protection locked="true" hidden="false"/>
    </xf>
    <xf numFmtId="175" fontId="1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8E1"/>
      <rgbColor rgb="FFE8F5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7F6"/>
      <rgbColor rgb="FFCCFFCC"/>
      <rgbColor rgb="FFFFEBEE"/>
      <rgbColor rgb="FF99CCFF"/>
      <rgbColor rgb="FFFF99CC"/>
      <rgbColor rgb="FFCC99FF"/>
      <rgbColor rgb="FFFFCC99"/>
      <rgbColor rgb="FF3366FF"/>
      <rgbColor rgb="FF33CCCC"/>
      <rgbColor rgb="FF99CC00"/>
      <rgbColor rgb="FFFFCC00"/>
      <rgbColor rgb="FFFF9900"/>
      <rgbColor rgb="FFFF6600"/>
      <rgbColor rgb="FF666699"/>
      <rgbColor rgb="FF999999"/>
      <rgbColor rgb="FF1B3A5C"/>
      <rgbColor rgb="FF2E7D32"/>
      <rgbColor rgb="FF003300"/>
      <rgbColor rgb="FF333300"/>
      <rgbColor rgb="FFC62828"/>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6"/>
    <col collapsed="false" customWidth="true" hidden="false" outlineLevel="0" max="3" min="3" style="1" width="60"/>
  </cols>
  <sheetData>
    <row r="1" customFormat="false" ht="15" hidden="false" customHeight="true" outlineLevel="0" collapsed="false">
      <c r="A1" s="2" t="s">
        <v>0</v>
      </c>
    </row>
    <row r="2" customFormat="false" ht="15" hidden="false" customHeight="true" outlineLevel="0" collapsed="false">
      <c r="A2" s="3" t="s">
        <v>1</v>
      </c>
      <c r="B2" s="4" t="n">
        <v>72000</v>
      </c>
      <c r="C2" s="5" t="s">
        <v>2</v>
      </c>
    </row>
    <row r="3" customFormat="false" ht="15" hidden="false" customHeight="true" outlineLevel="0" collapsed="false">
      <c r="A3" s="3" t="s">
        <v>3</v>
      </c>
      <c r="B3" s="4" t="n">
        <v>21</v>
      </c>
      <c r="C3" s="5" t="s">
        <v>4</v>
      </c>
    </row>
    <row r="4" customFormat="false" ht="15" hidden="false" customHeight="true" outlineLevel="0" collapsed="false">
      <c r="A4" s="3" t="s">
        <v>5</v>
      </c>
      <c r="B4" s="6" t="n">
        <v>0.42</v>
      </c>
      <c r="C4" s="5" t="s">
        <v>6</v>
      </c>
    </row>
    <row r="5" customFormat="false" ht="15" hidden="false" customHeight="true" outlineLevel="0" collapsed="false">
      <c r="A5" s="3" t="s">
        <v>7</v>
      </c>
      <c r="B5" s="7" t="n">
        <v>0.07</v>
      </c>
      <c r="C5" s="5" t="s">
        <v>8</v>
      </c>
    </row>
    <row r="6" customFormat="false" ht="15" hidden="false" customHeight="true" outlineLevel="0" collapsed="false">
      <c r="A6" s="3" t="s">
        <v>9</v>
      </c>
      <c r="B6" s="8" t="n">
        <v>20</v>
      </c>
      <c r="C6" s="5" t="s">
        <v>10</v>
      </c>
    </row>
    <row r="8" customFormat="false" ht="15" hidden="false" customHeight="true" outlineLevel="0" collapsed="false">
      <c r="A8" s="2" t="s">
        <v>11</v>
      </c>
    </row>
    <row r="9" customFormat="false" ht="15" hidden="false" customHeight="true" outlineLevel="0" collapsed="false">
      <c r="A9" s="3" t="s">
        <v>12</v>
      </c>
      <c r="B9" s="4" t="n">
        <v>9000</v>
      </c>
      <c r="C9" s="5" t="s">
        <v>13</v>
      </c>
    </row>
    <row r="10" customFormat="false" ht="15" hidden="false" customHeight="true" outlineLevel="0" collapsed="false">
      <c r="A10" s="3" t="s">
        <v>14</v>
      </c>
      <c r="B10" s="9" t="n">
        <v>2</v>
      </c>
      <c r="C10" s="5" t="s">
        <v>15</v>
      </c>
    </row>
    <row r="11" customFormat="false" ht="15" hidden="false" customHeight="true" outlineLevel="0" collapsed="false">
      <c r="A11" s="3" t="s">
        <v>16</v>
      </c>
      <c r="B11" s="10" t="n">
        <f aca="false">B6-B10</f>
        <v>18</v>
      </c>
      <c r="C11" s="5" t="s">
        <v>17</v>
      </c>
    </row>
    <row r="12" customFormat="false" ht="15" hidden="false" customHeight="true" outlineLevel="0" collapsed="false">
      <c r="A12" s="3" t="s">
        <v>18</v>
      </c>
      <c r="B12" s="11" t="n">
        <f aca="false">IF(1&lt;=B11, 1/(1+B5)^(B10+1), 0)+IF(2&lt;=B11, 1/(1+B5)^(B10+2), 0)+IF(3&lt;=B11, 1/(1+B5)^(B10+3), 0)+IF(4&lt;=B11, 1/(1+B5)^(B10+4), 0)+IF(5&lt;=B11, 1/(1+B5)^(B10+5), 0)+IF(6&lt;=B11, 1/(1+B5)^(B10+6), 0)+IF(7&lt;=B11, 1/(1+B5)^(B10+7), 0)+IF(8&lt;=B11, 1/(1+B5)^(B10+8), 0)+IF(9&lt;=B11, 1/(1+B5)^(B10+9), 0)+IF(10&lt;=B11, 1/(1+B5)^(B10+10), 0)+IF(11&lt;=B11, 1/(1+B5)^(B10+11), 0)+IF(12&lt;=B11, 1/(1+B5)^(B10+12), 0)+IF(13&lt;=B11, 1/(1+B5)^(B10+13), 0)+IF(14&lt;=B11, 1/(1+B5)^(B10+14), 0)+IF(15&lt;=B11, 1/(1+B5)^(B10+15), 0)+IF(16&lt;=B11, 1/(1+B5)^(B10+16), 0)+IF(17&lt;=B11, 1/(1+B5)^(B10+17), 0)+IF(18&lt;=B11, 1/(1+B5)^(B10+18), 0)+IF(19&lt;=B11, 1/(1+B5)^(B10+19), 0)+IF(20&lt;=B11, 1/(1+B5)^(B10+20), 0)+IF(21&lt;=B11, 1/(1+B5)^(B10+21), 0)+IF(22&lt;=B11, 1/(1+B5)^(B10+22), 0)+IF(23&lt;=B11, 1/(1+B5)^(B10+23), 0)+IF(24&lt;=B11, 1/(1+B5)^(B10+24), 0)+IF(25&lt;=B11, 1/(1+B5)^(B10+25), 0)</f>
        <v>8.78599607799061</v>
      </c>
      <c r="C12" s="5" t="s">
        <v>19</v>
      </c>
    </row>
    <row r="14" customFormat="false" ht="15" hidden="false" customHeight="true" outlineLevel="0" collapsed="false">
      <c r="A14" s="2" t="s">
        <v>20</v>
      </c>
    </row>
    <row r="15" customFormat="false" ht="15" hidden="false" customHeight="true" outlineLevel="0" collapsed="false">
      <c r="A15" s="3" t="s">
        <v>21</v>
      </c>
      <c r="B15" s="4" t="n">
        <v>2000</v>
      </c>
      <c r="C15" s="5" t="s">
        <v>22</v>
      </c>
    </row>
    <row r="16" customFormat="false" ht="15" hidden="false" customHeight="true" outlineLevel="0" collapsed="false">
      <c r="A16" s="3" t="s">
        <v>14</v>
      </c>
      <c r="B16" s="9" t="n">
        <v>2.5</v>
      </c>
      <c r="C16" s="5" t="s">
        <v>23</v>
      </c>
    </row>
    <row r="17" customFormat="false" ht="15" hidden="false" customHeight="true" outlineLevel="0" collapsed="false">
      <c r="A17" s="3" t="s">
        <v>24</v>
      </c>
      <c r="B17" s="12" t="n">
        <f aca="false">B6-B16</f>
        <v>17.5</v>
      </c>
      <c r="C17" s="5" t="s">
        <v>25</v>
      </c>
    </row>
    <row r="18" customFormat="false" ht="15" hidden="false" customHeight="true" outlineLevel="0" collapsed="false">
      <c r="A18" s="3" t="s">
        <v>26</v>
      </c>
      <c r="B18" s="11" t="n">
        <f aca="false">IF(1&lt;=B17, 1/(1+B5)^(B16+1), 0)+IF(2&lt;=B17, 1/(1+B5)^(B16+2), 0)+IF(3&lt;=B17, 1/(1+B5)^(B16+3), 0)+IF(4&lt;=B17, 1/(1+B5)^(B16+4), 0)+IF(5&lt;=B17, 1/(1+B5)^(B16+5), 0)+IF(6&lt;=B17, 1/(1+B5)^(B16+6), 0)+IF(7&lt;=B17, 1/(1+B5)^(B16+7), 0)+IF(8&lt;=B17, 1/(1+B5)^(B16+8), 0)+IF(9&lt;=B17, 1/(1+B5)^(B16+9), 0)+IF(10&lt;=B17, 1/(1+B5)^(B16+10), 0)+IF(11&lt;=B17, 1/(1+B5)^(B16+11), 0)+IF(12&lt;=B17, 1/(1+B5)^(B16+12), 0)+IF(13&lt;=B17, 1/(1+B5)^(B16+13), 0)+IF(14&lt;=B17, 1/(1+B5)^(B16+14), 0)+IF(15&lt;=B17, 1/(1+B5)^(B16+15), 0)+IF(16&lt;=B17, 1/(1+B5)^(B16+16), 0)+IF(17&lt;=B17, 1/(1+B5)^(B16+17), 0)+IF(18&lt;=B17, 1/(1+B5)^(B16+18), 0)+IF(19&lt;=B17, 1/(1+B5)^(B16+19), 0)+IF(20&lt;=B17, 1/(1+B5)^(B16+20), 0)+IF(21&lt;=B17, 1/(1+B5)^(B16+21), 0)+IF(22&lt;=B17, 1/(1+B5)^(B16+22), 0)+IF(23&lt;=B17, 1/(1+B5)^(B16+23), 0)+IF(24&lt;=B17, 1/(1+B5)^(B16+24), 0)+IF(25&lt;=B17, 1/(1+B5)^(B16+25), 0)</f>
        <v>8.24391992172265</v>
      </c>
      <c r="C18" s="5" t="s">
        <v>27</v>
      </c>
    </row>
    <row r="20" customFormat="false" ht="15" hidden="false" customHeight="true" outlineLevel="0" collapsed="false">
      <c r="A20" s="2" t="s">
        <v>28</v>
      </c>
    </row>
    <row r="21" customFormat="false" ht="15" hidden="false" customHeight="true" outlineLevel="0" collapsed="false">
      <c r="A21" s="13" t="s">
        <v>29</v>
      </c>
      <c r="B21" s="13"/>
      <c r="C21" s="13"/>
    </row>
    <row r="22" customFormat="false" ht="15" hidden="false" customHeight="true" outlineLevel="0" collapsed="false">
      <c r="A22" s="13" t="s">
        <v>30</v>
      </c>
      <c r="B22" s="13"/>
      <c r="C22" s="13"/>
    </row>
    <row r="23" customFormat="false" ht="15" hidden="false" customHeight="true" outlineLevel="0" collapsed="false">
      <c r="A23" s="13" t="s">
        <v>31</v>
      </c>
      <c r="B23" s="13"/>
      <c r="C23" s="13"/>
    </row>
    <row r="24" customFormat="false" ht="15" hidden="false" customHeight="true" outlineLevel="0" collapsed="false">
      <c r="A24" s="13" t="s">
        <v>32</v>
      </c>
      <c r="B24" s="13"/>
      <c r="C24" s="13"/>
    </row>
    <row r="25" customFormat="false" ht="15" hidden="false" customHeight="true" outlineLevel="0" collapsed="false">
      <c r="A25" s="13" t="s">
        <v>33</v>
      </c>
      <c r="B25" s="13"/>
      <c r="C25" s="13"/>
    </row>
    <row r="26" customFormat="false" ht="15" hidden="false" customHeight="true" outlineLevel="0" collapsed="false">
      <c r="A26" s="13" t="s">
        <v>34</v>
      </c>
      <c r="B26" s="13"/>
      <c r="C26" s="13"/>
    </row>
    <row r="27" customFormat="false" ht="15" hidden="false" customHeight="true" outlineLevel="0" collapsed="false">
      <c r="A27" s="13" t="s">
        <v>35</v>
      </c>
      <c r="B27" s="13"/>
      <c r="C27" s="13"/>
    </row>
    <row r="28" customFormat="false" ht="15" hidden="false" customHeight="true" outlineLevel="0" collapsed="false">
      <c r="A28" s="13" t="s">
        <v>36</v>
      </c>
      <c r="B28" s="13"/>
      <c r="C28" s="13"/>
    </row>
    <row r="29" customFormat="false" ht="15" hidden="false" customHeight="true" outlineLevel="0" collapsed="false">
      <c r="A29" s="13" t="s">
        <v>37</v>
      </c>
      <c r="B29" s="13"/>
      <c r="C29" s="13"/>
    </row>
    <row r="31" customFormat="false" ht="15" hidden="false" customHeight="true" outlineLevel="0" collapsed="false">
      <c r="A31" s="2" t="s">
        <v>38</v>
      </c>
    </row>
    <row r="32" customFormat="false" ht="15" hidden="false" customHeight="true" outlineLevel="0" collapsed="false">
      <c r="A32" s="3" t="s">
        <v>39</v>
      </c>
      <c r="B32" s="14" t="s">
        <v>40</v>
      </c>
      <c r="C32" s="5" t="s">
        <v>41</v>
      </c>
    </row>
    <row r="33" customFormat="false" ht="15" hidden="false" customHeight="true" outlineLevel="0" collapsed="false">
      <c r="A33" s="3" t="s">
        <v>42</v>
      </c>
      <c r="B33" s="14" t="s">
        <v>43</v>
      </c>
      <c r="C33" s="5" t="s">
        <v>41</v>
      </c>
    </row>
    <row r="34" customFormat="false" ht="15" hidden="false" customHeight="true" outlineLevel="0" collapsed="false">
      <c r="A34" s="3" t="s">
        <v>44</v>
      </c>
      <c r="B34" s="14" t="s">
        <v>45</v>
      </c>
      <c r="C34" s="5" t="s">
        <v>41</v>
      </c>
    </row>
    <row r="35" customFormat="false" ht="15" hidden="false" customHeight="true" outlineLevel="0" collapsed="false">
      <c r="A35" s="3" t="s">
        <v>46</v>
      </c>
      <c r="B35" s="14" t="s">
        <v>47</v>
      </c>
      <c r="C35" s="5" t="s">
        <v>48</v>
      </c>
    </row>
    <row r="36" customFormat="false" ht="15" hidden="false" customHeight="true" outlineLevel="0" collapsed="false">
      <c r="A36" s="3" t="s">
        <v>49</v>
      </c>
      <c r="B36" s="14" t="s">
        <v>50</v>
      </c>
      <c r="C36" s="5" t="s">
        <v>41</v>
      </c>
    </row>
    <row r="37" customFormat="false" ht="15" hidden="false" customHeight="true" outlineLevel="0" collapsed="false">
      <c r="A37" s="3" t="s">
        <v>51</v>
      </c>
      <c r="B37" s="14" t="s">
        <v>52</v>
      </c>
      <c r="C37" s="5" t="s">
        <v>53</v>
      </c>
    </row>
    <row r="38" customFormat="false" ht="15" hidden="false" customHeight="true" outlineLevel="0" collapsed="false">
      <c r="A38" s="3" t="s">
        <v>54</v>
      </c>
      <c r="B38" s="14" t="s">
        <v>55</v>
      </c>
      <c r="C38" s="5" t="s">
        <v>56</v>
      </c>
    </row>
  </sheetData>
  <mergeCells count="9">
    <mergeCell ref="A21:C21"/>
    <mergeCell ref="A22:C22"/>
    <mergeCell ref="A23:C23"/>
    <mergeCell ref="A24:C24"/>
    <mergeCell ref="A25:C25"/>
    <mergeCell ref="A26:C26"/>
    <mergeCell ref="A27:C27"/>
    <mergeCell ref="A28:C28"/>
    <mergeCell ref="A29:C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38"/>
    <col collapsed="false" customWidth="true" hidden="false" outlineLevel="0" max="3" min="3" style="1" width="7"/>
    <col collapsed="false" customWidth="true" hidden="false" outlineLevel="0" max="4" min="4" style="1" width="8"/>
    <col collapsed="false" customWidth="true" hidden="false" outlineLevel="0" max="5" min="5" style="1" width="11"/>
    <col collapsed="false" customWidth="true" hidden="false" outlineLevel="0" max="6" min="6" style="1" width="12"/>
    <col collapsed="false" customWidth="true" hidden="false" outlineLevel="0" max="7" min="7" style="1" width="13"/>
    <col collapsed="false" customWidth="true" hidden="false" outlineLevel="0" max="8" min="8" style="1" width="14"/>
    <col collapsed="false" customWidth="true" hidden="false" outlineLevel="0" max="10" min="9" style="1" width="11"/>
    <col collapsed="false" customWidth="true" hidden="false" outlineLevel="0" max="11" min="11" style="1" width="12"/>
    <col collapsed="false" customWidth="true" hidden="false" outlineLevel="0" max="12" min="12" style="1" width="48"/>
  </cols>
  <sheetData>
    <row r="1" customFormat="false" ht="30" hidden="false" customHeight="true" outlineLevel="0" collapsed="false">
      <c r="A1" s="15" t="s">
        <v>57</v>
      </c>
      <c r="B1" s="15" t="s">
        <v>58</v>
      </c>
      <c r="C1" s="15" t="s">
        <v>59</v>
      </c>
      <c r="D1" s="15" t="s">
        <v>60</v>
      </c>
      <c r="E1" s="15" t="s">
        <v>61</v>
      </c>
      <c r="F1" s="15" t="s">
        <v>62</v>
      </c>
      <c r="G1" s="15" t="s">
        <v>63</v>
      </c>
      <c r="H1" s="15" t="s">
        <v>64</v>
      </c>
      <c r="I1" s="15" t="s">
        <v>65</v>
      </c>
      <c r="J1" s="15" t="s">
        <v>66</v>
      </c>
      <c r="K1" s="15" t="s">
        <v>67</v>
      </c>
      <c r="L1" s="15" t="s">
        <v>68</v>
      </c>
    </row>
    <row r="2" customFormat="false" ht="33.75" hidden="false" customHeight="true" outlineLevel="0" collapsed="false">
      <c r="A2" s="16" t="s">
        <v>69</v>
      </c>
      <c r="B2" s="17" t="s">
        <v>70</v>
      </c>
      <c r="C2" s="18" t="n">
        <v>24</v>
      </c>
      <c r="D2" s="19" t="s">
        <v>71</v>
      </c>
      <c r="E2" s="20" t="n">
        <f aca="false">C2*Assumptions!B3</f>
        <v>504</v>
      </c>
      <c r="F2" s="21" t="n">
        <v>0.25</v>
      </c>
      <c r="G2" s="20" t="n">
        <f aca="false">F2*Assumptions!B9</f>
        <v>2250</v>
      </c>
      <c r="H2" s="20" t="n">
        <f aca="false">G2*(1-Assumptions!B4)*Assumptions!B12</f>
        <v>11465.7248817777</v>
      </c>
      <c r="I2" s="22" t="n">
        <f aca="false">H2-E2</f>
        <v>10961.7248817777</v>
      </c>
      <c r="J2" s="23" t="n">
        <f aca="false">IF(C2&gt;0,I2/C2,0)</f>
        <v>456.738536740739</v>
      </c>
      <c r="K2" s="24" t="n">
        <f aca="false">IF(E2&gt;0,H2/E2,0)</f>
        <v>22.7494541305114</v>
      </c>
      <c r="L2" s="25" t="s">
        <v>72</v>
      </c>
    </row>
    <row r="3" customFormat="false" ht="33.75" hidden="false" customHeight="true" outlineLevel="0" collapsed="false">
      <c r="A3" s="16" t="s">
        <v>69</v>
      </c>
      <c r="B3" s="17" t="s">
        <v>73</v>
      </c>
      <c r="C3" s="18" t="n">
        <v>5</v>
      </c>
      <c r="D3" s="19" t="s">
        <v>71</v>
      </c>
      <c r="E3" s="20" t="n">
        <f aca="false">C3*Assumptions!B3</f>
        <v>105</v>
      </c>
      <c r="F3" s="21" t="n">
        <v>0.08</v>
      </c>
      <c r="G3" s="20" t="n">
        <f aca="false">F3*Assumptions!B9</f>
        <v>720</v>
      </c>
      <c r="H3" s="20" t="n">
        <f aca="false">G3*(1-Assumptions!B4)*Assumptions!B12</f>
        <v>3669.03196216888</v>
      </c>
      <c r="I3" s="22" t="n">
        <f aca="false">H3-E3</f>
        <v>3564.03196216888</v>
      </c>
      <c r="J3" s="23" t="n">
        <f aca="false">IF(C3&gt;0,I3/C3,0)</f>
        <v>712.806392433776</v>
      </c>
      <c r="K3" s="24" t="n">
        <f aca="false">IF(E3&gt;0,H3/E3,0)</f>
        <v>34.9431615444655</v>
      </c>
      <c r="L3" s="25" t="s">
        <v>74</v>
      </c>
    </row>
    <row r="4" customFormat="false" ht="33.75" hidden="false" customHeight="true" outlineLevel="0" collapsed="false">
      <c r="A4" s="16" t="s">
        <v>69</v>
      </c>
      <c r="B4" s="17" t="s">
        <v>75</v>
      </c>
      <c r="C4" s="18" t="n">
        <v>18</v>
      </c>
      <c r="D4" s="19" t="s">
        <v>71</v>
      </c>
      <c r="E4" s="20" t="n">
        <f aca="false">C4*Assumptions!B3</f>
        <v>378</v>
      </c>
      <c r="F4" s="21" t="n">
        <v>0.1</v>
      </c>
      <c r="G4" s="20" t="n">
        <f aca="false">F4*Assumptions!B9</f>
        <v>900</v>
      </c>
      <c r="H4" s="20" t="n">
        <f aca="false">G4*(1-Assumptions!B4)*Assumptions!B12</f>
        <v>4586.2899527111</v>
      </c>
      <c r="I4" s="22" t="n">
        <f aca="false">H4-E4</f>
        <v>4208.2899527111</v>
      </c>
      <c r="J4" s="23" t="n">
        <f aca="false">IF(C4&gt;0,I4/C4,0)</f>
        <v>233.793886261728</v>
      </c>
      <c r="K4" s="24" t="n">
        <f aca="false">IF(E4&gt;0,H4/E4,0)</f>
        <v>12.1330422029394</v>
      </c>
      <c r="L4" s="25" t="s">
        <v>76</v>
      </c>
    </row>
    <row r="5" customFormat="false" ht="33.75" hidden="false" customHeight="true" outlineLevel="0" collapsed="false">
      <c r="A5" s="16" t="s">
        <v>77</v>
      </c>
      <c r="B5" s="17" t="s">
        <v>78</v>
      </c>
      <c r="C5" s="18" t="n">
        <v>20</v>
      </c>
      <c r="D5" s="19" t="s">
        <v>79</v>
      </c>
      <c r="E5" s="20" t="n">
        <f aca="false">C5*Assumptions!B3</f>
        <v>420</v>
      </c>
      <c r="F5" s="21" t="n">
        <v>0.2</v>
      </c>
      <c r="G5" s="20" t="n">
        <f aca="false">F5*Assumptions!B9</f>
        <v>1800</v>
      </c>
      <c r="H5" s="20" t="n">
        <f aca="false">G5*(1-Assumptions!B4)*Assumptions!B12</f>
        <v>9172.5799054222</v>
      </c>
      <c r="I5" s="22" t="n">
        <f aca="false">H5-E5</f>
        <v>8752.5799054222</v>
      </c>
      <c r="J5" s="23" t="n">
        <f aca="false">IF(C5&gt;0,I5/C5,0)</f>
        <v>437.62899527111</v>
      </c>
      <c r="K5" s="24" t="n">
        <f aca="false">IF(E5&gt;0,H5/E5,0)</f>
        <v>21.8394759652909</v>
      </c>
      <c r="L5" s="25" t="s">
        <v>80</v>
      </c>
    </row>
    <row r="6" customFormat="false" ht="33.75" hidden="false" customHeight="true" outlineLevel="0" collapsed="false">
      <c r="A6" s="16" t="s">
        <v>77</v>
      </c>
      <c r="B6" s="17" t="s">
        <v>81</v>
      </c>
      <c r="C6" s="18" t="n">
        <v>10</v>
      </c>
      <c r="D6" s="19" t="s">
        <v>79</v>
      </c>
      <c r="E6" s="20" t="n">
        <f aca="false">C6*Assumptions!B3</f>
        <v>210</v>
      </c>
      <c r="F6" s="21" t="n">
        <v>0.1</v>
      </c>
      <c r="G6" s="20" t="n">
        <f aca="false">F6*Assumptions!B9</f>
        <v>900</v>
      </c>
      <c r="H6" s="20" t="n">
        <f aca="false">G6*(1-Assumptions!B4)*Assumptions!B12</f>
        <v>4586.2899527111</v>
      </c>
      <c r="I6" s="22" t="n">
        <f aca="false">H6-E6</f>
        <v>4376.2899527111</v>
      </c>
      <c r="J6" s="23" t="n">
        <f aca="false">IF(C6&gt;0,I6/C6,0)</f>
        <v>437.62899527111</v>
      </c>
      <c r="K6" s="24" t="n">
        <f aca="false">IF(E6&gt;0,H6/E6,0)</f>
        <v>21.8394759652909</v>
      </c>
      <c r="L6" s="25" t="s">
        <v>82</v>
      </c>
    </row>
    <row r="7" customFormat="false" ht="33.75" hidden="false" customHeight="true" outlineLevel="0" collapsed="false">
      <c r="A7" s="16" t="s">
        <v>77</v>
      </c>
      <c r="B7" s="17" t="s">
        <v>83</v>
      </c>
      <c r="C7" s="18" t="n">
        <v>35</v>
      </c>
      <c r="D7" s="19" t="s">
        <v>84</v>
      </c>
      <c r="E7" s="20" t="n">
        <f aca="false">C7*Assumptions!B3</f>
        <v>735</v>
      </c>
      <c r="F7" s="21" t="n">
        <v>0.22</v>
      </c>
      <c r="G7" s="20" t="n">
        <f aca="false">F7*Assumptions!B9</f>
        <v>1980</v>
      </c>
      <c r="H7" s="20" t="n">
        <f aca="false">G7*(1-Assumptions!B4)*Assumptions!B12</f>
        <v>10089.8378959644</v>
      </c>
      <c r="I7" s="22" t="n">
        <f aca="false">H7-E7</f>
        <v>9354.83789596442</v>
      </c>
      <c r="J7" s="23" t="n">
        <f aca="false">IF(C7&gt;0,I7/C7,0)</f>
        <v>267.28108274184</v>
      </c>
      <c r="K7" s="24" t="n">
        <f aca="false">IF(E7&gt;0,H7/E7,0)</f>
        <v>13.7276706067543</v>
      </c>
      <c r="L7" s="25" t="s">
        <v>85</v>
      </c>
    </row>
    <row r="8" customFormat="false" ht="33.75" hidden="false" customHeight="true" outlineLevel="0" collapsed="false">
      <c r="A8" s="26" t="s">
        <v>86</v>
      </c>
      <c r="B8" s="27" t="s">
        <v>87</v>
      </c>
      <c r="C8" s="28" t="n">
        <v>3</v>
      </c>
      <c r="D8" s="29" t="s">
        <v>88</v>
      </c>
      <c r="E8" s="30" t="n">
        <f aca="false">C8*Assumptions!B3</f>
        <v>63</v>
      </c>
      <c r="F8" s="31" t="n">
        <v>0.02</v>
      </c>
      <c r="G8" s="30" t="n">
        <f aca="false">F8*Assumptions!B9</f>
        <v>180</v>
      </c>
      <c r="H8" s="30" t="n">
        <f aca="false">G8*(1-Assumptions!B4)*Assumptions!B12</f>
        <v>917.25799054222</v>
      </c>
      <c r="I8" s="32" t="n">
        <f aca="false">H8-E8</f>
        <v>854.25799054222</v>
      </c>
      <c r="J8" s="33" t="n">
        <f aca="false">IF(C8&gt;0,I8/C8,0)</f>
        <v>284.752663514073</v>
      </c>
      <c r="K8" s="34" t="n">
        <f aca="false">IF(E8&gt;0,H8/E8,0)</f>
        <v>14.5596506435273</v>
      </c>
      <c r="L8" s="35" t="s">
        <v>89</v>
      </c>
    </row>
    <row r="9" customFormat="false" ht="33.75" hidden="false" customHeight="true" outlineLevel="0" collapsed="false">
      <c r="A9" s="26" t="s">
        <v>86</v>
      </c>
      <c r="B9" s="27" t="s">
        <v>90</v>
      </c>
      <c r="C9" s="28" t="n">
        <v>4</v>
      </c>
      <c r="D9" s="29" t="s">
        <v>88</v>
      </c>
      <c r="E9" s="30" t="n">
        <f aca="false">C9*Assumptions!B3</f>
        <v>84</v>
      </c>
      <c r="F9" s="31" t="n">
        <v>0.01</v>
      </c>
      <c r="G9" s="30" t="n">
        <f aca="false">F9*Assumptions!B9</f>
        <v>90</v>
      </c>
      <c r="H9" s="30" t="n">
        <f aca="false">G9*(1-Assumptions!B4)*Assumptions!B12</f>
        <v>458.62899527111</v>
      </c>
      <c r="I9" s="32" t="n">
        <f aca="false">H9-E9</f>
        <v>374.62899527111</v>
      </c>
      <c r="J9" s="33" t="n">
        <f aca="false">IF(C9&gt;0,I9/C9,0)</f>
        <v>93.6572488177774</v>
      </c>
      <c r="K9" s="34" t="n">
        <f aca="false">IF(E9&gt;0,H9/E9,0)</f>
        <v>5.45986899132274</v>
      </c>
      <c r="L9" s="35" t="s">
        <v>91</v>
      </c>
    </row>
    <row r="10" customFormat="false" ht="33.75" hidden="false" customHeight="true" outlineLevel="0" collapsed="false">
      <c r="A10" s="26" t="s">
        <v>86</v>
      </c>
      <c r="B10" s="27" t="s">
        <v>92</v>
      </c>
      <c r="C10" s="28" t="n">
        <v>1</v>
      </c>
      <c r="D10" s="29" t="s">
        <v>88</v>
      </c>
      <c r="E10" s="30" t="n">
        <f aca="false">C10*Assumptions!B3</f>
        <v>21</v>
      </c>
      <c r="F10" s="31" t="n">
        <v>0.01</v>
      </c>
      <c r="G10" s="30" t="n">
        <f aca="false">F10*Assumptions!B9</f>
        <v>90</v>
      </c>
      <c r="H10" s="30" t="n">
        <f aca="false">G10*(1-Assumptions!B4)*Assumptions!B12</f>
        <v>458.62899527111</v>
      </c>
      <c r="I10" s="32" t="n">
        <f aca="false">H10-E10</f>
        <v>437.62899527111</v>
      </c>
      <c r="J10" s="33" t="n">
        <f aca="false">IF(C10&gt;0,I10/C10,0)</f>
        <v>437.62899527111</v>
      </c>
      <c r="K10" s="34" t="n">
        <f aca="false">IF(E10&gt;0,H10/E10,0)</f>
        <v>21.8394759652909</v>
      </c>
      <c r="L10" s="35" t="s">
        <v>93</v>
      </c>
    </row>
    <row r="11" customFormat="false" ht="33.75" hidden="false" customHeight="true" outlineLevel="0" collapsed="false">
      <c r="A11" s="26" t="s">
        <v>86</v>
      </c>
      <c r="B11" s="27" t="s">
        <v>94</v>
      </c>
      <c r="C11" s="28" t="n">
        <v>3</v>
      </c>
      <c r="D11" s="29" t="s">
        <v>88</v>
      </c>
      <c r="E11" s="30" t="n">
        <f aca="false">C11*Assumptions!B3</f>
        <v>63</v>
      </c>
      <c r="F11" s="31" t="n">
        <v>0.01</v>
      </c>
      <c r="G11" s="30" t="n">
        <f aca="false">F11*Assumptions!B9</f>
        <v>90</v>
      </c>
      <c r="H11" s="30" t="n">
        <f aca="false">G11*(1-Assumptions!B4)*Assumptions!B12</f>
        <v>458.62899527111</v>
      </c>
      <c r="I11" s="32" t="n">
        <f aca="false">H11-E11</f>
        <v>395.62899527111</v>
      </c>
      <c r="J11" s="33" t="n">
        <f aca="false">IF(C11&gt;0,I11/C11,0)</f>
        <v>131.876331757037</v>
      </c>
      <c r="K11" s="34" t="n">
        <f aca="false">IF(E11&gt;0,H11/E11,0)</f>
        <v>7.27982532176365</v>
      </c>
      <c r="L11" s="35" t="s">
        <v>95</v>
      </c>
    </row>
    <row r="12" customFormat="false" ht="33.75" hidden="false" customHeight="true" outlineLevel="0" collapsed="false">
      <c r="A12" s="36" t="s">
        <v>96</v>
      </c>
      <c r="B12" s="36"/>
      <c r="C12" s="37" t="s">
        <v>97</v>
      </c>
      <c r="D12" s="37"/>
      <c r="E12" s="37"/>
      <c r="F12" s="37"/>
      <c r="G12" s="37"/>
      <c r="H12" s="37"/>
      <c r="I12" s="37"/>
      <c r="J12" s="37"/>
      <c r="K12" s="37"/>
      <c r="L12" s="37"/>
    </row>
    <row r="13" customFormat="false" ht="33.75" hidden="false" customHeight="true" outlineLevel="0" collapsed="false">
      <c r="A13" s="38" t="s">
        <v>96</v>
      </c>
      <c r="B13" s="39" t="s">
        <v>98</v>
      </c>
      <c r="C13" s="40" t="n">
        <v>40</v>
      </c>
      <c r="D13" s="41" t="s">
        <v>99</v>
      </c>
      <c r="E13" s="42" t="n">
        <f aca="false">C13*Assumptions!B3</f>
        <v>840</v>
      </c>
      <c r="F13" s="43" t="n">
        <v>1</v>
      </c>
      <c r="G13" s="42" t="n">
        <f aca="false">F13*Assumptions!B15</f>
        <v>2000</v>
      </c>
      <c r="H13" s="42" t="n">
        <f aca="false">G13*(1-Assumptions!B4)*Assumptions!B18</f>
        <v>9562.94710919828</v>
      </c>
      <c r="I13" s="44" t="n">
        <f aca="false">H13-E13</f>
        <v>8722.94710919828</v>
      </c>
      <c r="J13" s="44" t="n">
        <f aca="false">IF(C13&gt;0,I13/C13,0)</f>
        <v>218.073677729957</v>
      </c>
      <c r="K13" s="45" t="n">
        <f aca="false">IF(E13&gt;0,H13/E13,0)</f>
        <v>11.3844608442837</v>
      </c>
      <c r="L13" s="46" t="s">
        <v>100</v>
      </c>
    </row>
    <row r="14" customFormat="false" ht="33.75" hidden="false" customHeight="true" outlineLevel="0" collapsed="false">
      <c r="A14" s="2" t="s">
        <v>101</v>
      </c>
    </row>
    <row r="15" customFormat="false" ht="33.75" hidden="false" customHeight="true" outlineLevel="0" collapsed="false">
      <c r="A15" s="47" t="s">
        <v>101</v>
      </c>
      <c r="B15" s="48" t="s">
        <v>102</v>
      </c>
      <c r="C15" s="49" t="s">
        <v>103</v>
      </c>
      <c r="D15" s="49" t="s">
        <v>104</v>
      </c>
      <c r="E15" s="49" t="s">
        <v>104</v>
      </c>
      <c r="F15" s="49" t="s">
        <v>104</v>
      </c>
      <c r="G15" s="49" t="s">
        <v>104</v>
      </c>
      <c r="H15" s="49" t="s">
        <v>104</v>
      </c>
      <c r="I15" s="49" t="s">
        <v>104</v>
      </c>
      <c r="J15" s="49" t="s">
        <v>104</v>
      </c>
      <c r="K15" s="49" t="s">
        <v>104</v>
      </c>
      <c r="L15" s="50" t="s">
        <v>105</v>
      </c>
    </row>
    <row r="16" customFormat="false" ht="33.75" hidden="false" customHeight="true" outlineLevel="0" collapsed="false">
      <c r="A16" s="47" t="s">
        <v>101</v>
      </c>
      <c r="B16" s="48" t="s">
        <v>106</v>
      </c>
      <c r="C16" s="49" t="s">
        <v>107</v>
      </c>
      <c r="D16" s="49" t="s">
        <v>104</v>
      </c>
      <c r="E16" s="49" t="s">
        <v>104</v>
      </c>
      <c r="F16" s="49" t="s">
        <v>104</v>
      </c>
      <c r="G16" s="49" t="s">
        <v>104</v>
      </c>
      <c r="H16" s="49" t="s">
        <v>104</v>
      </c>
      <c r="I16" s="49" t="s">
        <v>104</v>
      </c>
      <c r="J16" s="49" t="s">
        <v>104</v>
      </c>
      <c r="K16" s="49" t="s">
        <v>104</v>
      </c>
      <c r="L16" s="50" t="s">
        <v>108</v>
      </c>
    </row>
    <row r="17" customFormat="false" ht="33.75" hidden="false" customHeight="true" outlineLevel="0" collapsed="false">
      <c r="A17" s="47" t="s">
        <v>101</v>
      </c>
      <c r="B17" s="48" t="s">
        <v>109</v>
      </c>
      <c r="C17" s="49" t="s">
        <v>107</v>
      </c>
      <c r="D17" s="49" t="s">
        <v>104</v>
      </c>
      <c r="E17" s="49" t="s">
        <v>104</v>
      </c>
      <c r="F17" s="49" t="s">
        <v>104</v>
      </c>
      <c r="G17" s="49" t="s">
        <v>104</v>
      </c>
      <c r="H17" s="49" t="s">
        <v>104</v>
      </c>
      <c r="I17" s="49" t="s">
        <v>104</v>
      </c>
      <c r="J17" s="49" t="s">
        <v>104</v>
      </c>
      <c r="K17" s="49" t="s">
        <v>104</v>
      </c>
      <c r="L17" s="50" t="s">
        <v>110</v>
      </c>
    </row>
    <row r="18" customFormat="false" ht="33.75" hidden="false" customHeight="true" outlineLevel="0" collapsed="false">
      <c r="A18" s="47" t="s">
        <v>101</v>
      </c>
      <c r="B18" s="48" t="s">
        <v>111</v>
      </c>
      <c r="C18" s="49" t="s">
        <v>112</v>
      </c>
      <c r="D18" s="49" t="s">
        <v>104</v>
      </c>
      <c r="E18" s="49" t="s">
        <v>104</v>
      </c>
      <c r="F18" s="49" t="s">
        <v>104</v>
      </c>
      <c r="G18" s="49" t="s">
        <v>104</v>
      </c>
      <c r="H18" s="49" t="s">
        <v>104</v>
      </c>
      <c r="I18" s="49" t="s">
        <v>104</v>
      </c>
      <c r="J18" s="49" t="s">
        <v>104</v>
      </c>
      <c r="K18" s="49" t="s">
        <v>104</v>
      </c>
      <c r="L18" s="50" t="s">
        <v>113</v>
      </c>
    </row>
    <row r="20" customFormat="false" ht="15" hidden="false" customHeight="true" outlineLevel="0" collapsed="false">
      <c r="A20" s="2" t="s">
        <v>114</v>
      </c>
    </row>
    <row r="21" customFormat="false" ht="15" hidden="false" customHeight="true" outlineLevel="0" collapsed="false">
      <c r="A21" s="15"/>
      <c r="B21" s="15" t="s">
        <v>115</v>
      </c>
      <c r="C21" s="15" t="s">
        <v>59</v>
      </c>
      <c r="D21" s="15"/>
      <c r="E21" s="15" t="s">
        <v>61</v>
      </c>
      <c r="F21" s="15" t="s">
        <v>116</v>
      </c>
      <c r="G21" s="15" t="s">
        <v>63</v>
      </c>
      <c r="H21" s="15" t="s">
        <v>117</v>
      </c>
      <c r="I21" s="15" t="s">
        <v>65</v>
      </c>
      <c r="J21" s="15" t="s">
        <v>118</v>
      </c>
      <c r="K21" s="15" t="s">
        <v>119</v>
      </c>
      <c r="L21" s="15"/>
    </row>
    <row r="22" customFormat="false" ht="15" hidden="false" customHeight="true" outlineLevel="0" collapsed="false">
      <c r="A22" s="16" t="s">
        <v>69</v>
      </c>
      <c r="B22" s="17" t="s">
        <v>120</v>
      </c>
      <c r="C22" s="51" t="n">
        <f aca="false">SUM(C2:C4)</f>
        <v>47</v>
      </c>
      <c r="D22" s="52"/>
      <c r="E22" s="23" t="n">
        <f aca="false">SUM(E2:E4)</f>
        <v>987</v>
      </c>
      <c r="F22" s="53" t="n">
        <f aca="false">SUM(F2:F4)</f>
        <v>0.43</v>
      </c>
      <c r="G22" s="23" t="n">
        <f aca="false">SUM(G2:G4)</f>
        <v>3870</v>
      </c>
      <c r="H22" s="23" t="n">
        <f aca="false">SUM(H2:H4)</f>
        <v>19721.0467966577</v>
      </c>
      <c r="I22" s="54" t="n">
        <f aca="false">SUM(I2:I4)</f>
        <v>18734.0467966577</v>
      </c>
      <c r="J22" s="23" t="n">
        <f aca="false">IF(C22&gt;0,I22/C22,0)</f>
        <v>398.59674035442</v>
      </c>
      <c r="K22" s="24" t="n">
        <f aca="false">IF(E22&gt;0,H22/E22,0)</f>
        <v>19.9807971597343</v>
      </c>
      <c r="L22" s="17" t="s">
        <v>121</v>
      </c>
    </row>
    <row r="23" customFormat="false" ht="15" hidden="false" customHeight="true" outlineLevel="0" collapsed="false">
      <c r="A23" s="16" t="s">
        <v>77</v>
      </c>
      <c r="B23" s="17" t="s">
        <v>120</v>
      </c>
      <c r="C23" s="51" t="n">
        <f aca="false">SUM(C5:C7)</f>
        <v>65</v>
      </c>
      <c r="D23" s="52"/>
      <c r="E23" s="23" t="n">
        <f aca="false">SUM(E5:E7)</f>
        <v>1365</v>
      </c>
      <c r="F23" s="53" t="n">
        <f aca="false">SUM(F5:F7)</f>
        <v>0.52</v>
      </c>
      <c r="G23" s="23" t="n">
        <f aca="false">SUM(G5:G7)</f>
        <v>4680</v>
      </c>
      <c r="H23" s="23" t="n">
        <f aca="false">SUM(H5:H7)</f>
        <v>23848.7077540977</v>
      </c>
      <c r="I23" s="54" t="n">
        <f aca="false">SUM(I5:I7)</f>
        <v>22483.7077540977</v>
      </c>
      <c r="J23" s="23" t="n">
        <f aca="false">IF(C23&gt;0,I23/C23,0)</f>
        <v>345.903196216888</v>
      </c>
      <c r="K23" s="24" t="n">
        <f aca="false">IF(E23&gt;0,H23/E23,0)</f>
        <v>17.4715807722328</v>
      </c>
      <c r="L23" s="17" t="s">
        <v>122</v>
      </c>
    </row>
    <row r="24" customFormat="false" ht="15" hidden="false" customHeight="true" outlineLevel="0" collapsed="false">
      <c r="A24" s="26" t="s">
        <v>86</v>
      </c>
      <c r="B24" s="27" t="s">
        <v>123</v>
      </c>
      <c r="C24" s="55" t="n">
        <f aca="false">SUM(C8:C11)</f>
        <v>11</v>
      </c>
      <c r="D24" s="56"/>
      <c r="E24" s="33" t="n">
        <f aca="false">SUM(E8:E11)</f>
        <v>231</v>
      </c>
      <c r="F24" s="57" t="n">
        <f aca="false">SUM(F8:F11)</f>
        <v>0.05</v>
      </c>
      <c r="G24" s="33" t="n">
        <f aca="false">SUM(G8:G11)</f>
        <v>450</v>
      </c>
      <c r="H24" s="33" t="n">
        <f aca="false">SUM(H8:H11)</f>
        <v>2293.14497635555</v>
      </c>
      <c r="I24" s="58" t="n">
        <f aca="false">SUM(I8:I11)</f>
        <v>2062.14497635555</v>
      </c>
      <c r="J24" s="33" t="n">
        <f aca="false">IF(C24&gt;0,I24/C24,0)</f>
        <v>187.467725123232</v>
      </c>
      <c r="K24" s="34" t="n">
        <f aca="false">IF(E24&gt;0,H24/E24,0)</f>
        <v>9.9270345296777</v>
      </c>
      <c r="L24" s="27" t="s">
        <v>124</v>
      </c>
    </row>
    <row r="25" customFormat="false" ht="15" hidden="false" customHeight="true" outlineLevel="0" collapsed="false">
      <c r="A25" s="38" t="s">
        <v>96</v>
      </c>
      <c r="B25" s="39" t="s">
        <v>125</v>
      </c>
      <c r="C25" s="59" t="n">
        <f aca="false">C13</f>
        <v>40</v>
      </c>
      <c r="D25" s="60"/>
      <c r="E25" s="44" t="n">
        <f aca="false">E13</f>
        <v>840</v>
      </c>
      <c r="F25" s="61" t="n">
        <f aca="false">F13</f>
        <v>1</v>
      </c>
      <c r="G25" s="44" t="n">
        <f aca="false">G13</f>
        <v>2000</v>
      </c>
      <c r="H25" s="44" t="n">
        <f aca="false">H13</f>
        <v>9562.94710919828</v>
      </c>
      <c r="I25" s="62" t="n">
        <f aca="false">I13</f>
        <v>8722.94710919828</v>
      </c>
      <c r="J25" s="44" t="n">
        <f aca="false">IF(C25&gt;0,I25/C25,0)</f>
        <v>218.073677729957</v>
      </c>
      <c r="K25" s="45" t="n">
        <f aca="false">IF(E25&gt;0,H25/E25,0)</f>
        <v>11.3844608442837</v>
      </c>
      <c r="L25" s="39" t="s">
        <v>126</v>
      </c>
    </row>
    <row r="27" customFormat="false" ht="15" hidden="false" customHeight="true" outlineLevel="0" collapsed="false">
      <c r="A27" s="63" t="s">
        <v>127</v>
      </c>
      <c r="B27" s="64" t="s">
        <v>128</v>
      </c>
      <c r="C27" s="65" t="n">
        <f aca="false">SUM(C22:C25)</f>
        <v>163</v>
      </c>
      <c r="D27" s="66"/>
      <c r="E27" s="67" t="n">
        <f aca="false">SUM(E22:E25)</f>
        <v>3423</v>
      </c>
      <c r="F27" s="66"/>
      <c r="G27" s="67" t="n">
        <f aca="false">SUM(G22:G25)</f>
        <v>11000</v>
      </c>
      <c r="H27" s="67" t="n">
        <f aca="false">SUM(H22:H25)</f>
        <v>55425.8466363093</v>
      </c>
      <c r="I27" s="68" t="n">
        <f aca="false">SUM(I22:I25)</f>
        <v>52002.8466363093</v>
      </c>
      <c r="J27" s="67" t="n">
        <f aca="false">IF(C27&gt;0,I27/C27,0)</f>
        <v>319.035868934413</v>
      </c>
      <c r="K27" s="69" t="n">
        <f aca="false">IF(E27&gt;0,H27/E27,0)</f>
        <v>16.192184234972</v>
      </c>
      <c r="L27" s="64" t="s">
        <v>129</v>
      </c>
    </row>
  </sheetData>
  <mergeCells count="2">
    <mergeCell ref="A12:B12"/>
    <mergeCell ref="C12:L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6" min="2" style="1" width="14"/>
  </cols>
  <sheetData>
    <row r="1" customFormat="false" ht="15" hidden="false" customHeight="true" outlineLevel="0" collapsed="false">
      <c r="A1" s="70" t="s">
        <v>130</v>
      </c>
    </row>
    <row r="2" customFormat="false" ht="15" hidden="false" customHeight="true" outlineLevel="0" collapsed="false">
      <c r="A2" s="71" t="s">
        <v>131</v>
      </c>
    </row>
    <row r="3" customFormat="false" ht="15" hidden="false" customHeight="true" outlineLevel="0" collapsed="false">
      <c r="A3" s="71" t="s">
        <v>132</v>
      </c>
    </row>
    <row r="5" customFormat="false" ht="15" hidden="false" customHeight="true" outlineLevel="0" collapsed="false">
      <c r="A5" s="72" t="s">
        <v>133</v>
      </c>
      <c r="B5" s="73" t="n">
        <v>0.04</v>
      </c>
      <c r="C5" s="73" t="n">
        <v>0.05</v>
      </c>
      <c r="D5" s="73" t="n">
        <v>0.07</v>
      </c>
      <c r="E5" s="73" t="n">
        <v>0.09</v>
      </c>
      <c r="F5" s="73" t="n">
        <v>0.12</v>
      </c>
    </row>
    <row r="6" customFormat="false" ht="15" hidden="false" customHeight="true" outlineLevel="0" collapsed="false">
      <c r="A6" s="74" t="s">
        <v>134</v>
      </c>
      <c r="B6" s="75" t="n">
        <v>45624</v>
      </c>
      <c r="C6" s="75" t="n">
        <v>40999</v>
      </c>
      <c r="D6" s="75" t="n">
        <v>33368</v>
      </c>
      <c r="E6" s="75" t="n">
        <v>27416</v>
      </c>
      <c r="F6" s="75" t="n">
        <v>20733</v>
      </c>
    </row>
    <row r="7" customFormat="false" ht="15" hidden="false" customHeight="true" outlineLevel="0" collapsed="false">
      <c r="A7" s="74" t="s">
        <v>135</v>
      </c>
      <c r="B7" s="75" t="n">
        <v>53692</v>
      </c>
      <c r="C7" s="75" t="n">
        <v>48307</v>
      </c>
      <c r="D7" s="75" t="n">
        <v>39420</v>
      </c>
      <c r="E7" s="75" t="n">
        <v>32489</v>
      </c>
      <c r="F7" s="75" t="n">
        <v>24707</v>
      </c>
    </row>
    <row r="8" customFormat="false" ht="15" hidden="false" customHeight="true" outlineLevel="0" collapsed="false">
      <c r="A8" s="74" t="s">
        <v>136</v>
      </c>
      <c r="B8" s="75" t="n">
        <v>62399</v>
      </c>
      <c r="C8" s="75" t="n">
        <v>56193</v>
      </c>
      <c r="D8" s="75" t="n">
        <v>45951</v>
      </c>
      <c r="E8" s="75" t="n">
        <v>37962</v>
      </c>
      <c r="F8" s="75" t="n">
        <v>28992</v>
      </c>
    </row>
    <row r="9" customFormat="false" ht="15" hidden="false" customHeight="true" outlineLevel="0" collapsed="false">
      <c r="A9" s="76" t="s">
        <v>137</v>
      </c>
      <c r="B9" s="75" t="n">
        <v>70467</v>
      </c>
      <c r="C9" s="75" t="n">
        <v>63500</v>
      </c>
      <c r="D9" s="77" t="n">
        <v>52003</v>
      </c>
      <c r="E9" s="75" t="n">
        <v>43035</v>
      </c>
      <c r="F9" s="75" t="n">
        <v>32967</v>
      </c>
    </row>
    <row r="10" customFormat="false" ht="15" hidden="false" customHeight="true" outlineLevel="0" collapsed="false">
      <c r="A10" s="74" t="s">
        <v>138</v>
      </c>
      <c r="B10" s="75" t="n">
        <v>78535</v>
      </c>
      <c r="C10" s="75" t="n">
        <v>70807</v>
      </c>
      <c r="D10" s="75" t="n">
        <v>58055</v>
      </c>
      <c r="E10" s="75" t="n">
        <v>48108</v>
      </c>
      <c r="F10" s="75" t="n">
        <v>36941</v>
      </c>
    </row>
    <row r="12" customFormat="false" ht="15" hidden="false" customHeight="true" outlineLevel="0" collapsed="false">
      <c r="A12" s="71" t="s">
        <v>139</v>
      </c>
    </row>
    <row r="13" customFormat="false" ht="15" hidden="false" customHeight="true" outlineLevel="0" collapsed="false">
      <c r="A13" s="71" t="s">
        <v>140</v>
      </c>
    </row>
    <row r="14" customFormat="false" ht="15" hidden="false" customHeight="true" outlineLevel="0" collapsed="false">
      <c r="A14" s="71" t="s">
        <v>141</v>
      </c>
    </row>
    <row r="16" customFormat="false" ht="15" hidden="false" customHeight="true" outlineLevel="0" collapsed="false">
      <c r="A16" s="2" t="s">
        <v>142</v>
      </c>
    </row>
    <row r="17" customFormat="false" ht="15" hidden="false" customHeight="true" outlineLevel="0" collapsed="false">
      <c r="A17" s="3" t="s">
        <v>143</v>
      </c>
      <c r="B17" s="78" t="n">
        <v>680</v>
      </c>
      <c r="C17" s="5" t="s">
        <v>144</v>
      </c>
    </row>
    <row r="18" customFormat="false" ht="15" hidden="false" customHeight="true" outlineLevel="0" collapsed="false">
      <c r="A18" s="3" t="s">
        <v>145</v>
      </c>
      <c r="B18" s="79" t="s">
        <v>146</v>
      </c>
      <c r="C18" s="5"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2026-02-21T11:23:52Z</dcterms:created>
  <dc:creator>openpyxl</dc:creator>
  <dc:description/>
  <dc:language>en-US</dc:language>
  <cp:lastModifiedBy/>
  <dcterms:modified xsi:type="dcterms:W3CDTF">2026-02-21T11:33:45Z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